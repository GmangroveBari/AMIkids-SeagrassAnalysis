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ang\Documents\Gman\Ecology\AMIkids\DataWranglingAMIkids\"/>
    </mc:Choice>
  </mc:AlternateContent>
  <xr:revisionPtr revIDLastSave="0" documentId="13_ncr:1_{CF017CC6-2993-4007-80C9-0ED7358CC0A5}" xr6:coauthVersionLast="47" xr6:coauthVersionMax="47" xr10:uidLastSave="{00000000-0000-0000-0000-000000000000}"/>
  <bookViews>
    <workbookView xWindow="-120" yWindow="-120" windowWidth="29040" windowHeight="15720" firstSheet="1" activeTab="8" xr2:uid="{DF64F4C2-5755-4D6E-AF09-5A75EB09AB2C}"/>
  </bookViews>
  <sheets>
    <sheet name="RawData" sheetId="1" r:id="rId1"/>
    <sheet name="AncillaryData" sheetId="4" r:id="rId2"/>
    <sheet name="OverallMeans" sheetId="15" r:id="rId3"/>
    <sheet name="BraunBlanquet" sheetId="5" r:id="rId4"/>
    <sheet name="BB-10-20" sheetId="14" r:id="rId5"/>
    <sheet name="Appearance" sheetId="12" r:id="rId6"/>
    <sheet name="Epiphytes" sheetId="13" r:id="rId7"/>
    <sheet name="BladeLength" sheetId="6" r:id="rId8"/>
    <sheet name="Shoot" sheetId="7" r:id="rId9"/>
    <sheet name="Secchi" sheetId="11" r:id="rId10"/>
    <sheet name="Depth" sheetId="8" r:id="rId11"/>
    <sheet name="Sediment" sheetId="9" r:id="rId12"/>
  </sheets>
  <definedNames>
    <definedName name="_xlnm._FilterDatabase" localSheetId="1" hidden="1">AncillaryData!$A$3:$K$23</definedName>
    <definedName name="_xlnm._FilterDatabase" localSheetId="7" hidden="1">BladeLength!$L$1:$L$67</definedName>
    <definedName name="_xlnm._FilterDatabase" localSheetId="10" hidden="1">Depth!$A$1:$B$75</definedName>
    <definedName name="_xlnm._FilterDatabase" localSheetId="2" hidden="1">OverallMeans!$Q$1:$R$7</definedName>
    <definedName name="_xlnm._FilterDatabase" localSheetId="0" hidden="1">RawData!$A$1:$AA$90</definedName>
    <definedName name="_xlnm._FilterDatabase" localSheetId="11" hidden="1">Sediment!$D$1:$E$90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5A9704-AA2A-4902-924C-C43E3EF864D7}" keepAlive="1" name="Query - Oct20-Racetrack" description="Connection to the 'Oct20-Racetrack' query in the workbook." type="5" refreshedVersion="8" background="1" saveData="1">
    <dbPr connection="Provider=Microsoft.Mashup.OleDb.1;Data Source=$Workbook$;Location=Oct20-Racetrack;Extended Properties=&quot;&quot;" command="SELECT * FROM [Oct20-Racetrack]"/>
  </connection>
</connections>
</file>

<file path=xl/sharedStrings.xml><?xml version="1.0" encoding="utf-8"?>
<sst xmlns="http://schemas.openxmlformats.org/spreadsheetml/2006/main" count="728" uniqueCount="131">
  <si>
    <t>Site</t>
  </si>
  <si>
    <t>Species</t>
  </si>
  <si>
    <t>Abundance</t>
  </si>
  <si>
    <t>Depth</t>
  </si>
  <si>
    <t>Blade1</t>
  </si>
  <si>
    <t>Blade2</t>
  </si>
  <si>
    <t>Blade3</t>
  </si>
  <si>
    <t>Blade4</t>
  </si>
  <si>
    <t>Blade5</t>
  </si>
  <si>
    <t>Shoot1</t>
  </si>
  <si>
    <t>Shoot2</t>
  </si>
  <si>
    <t>Shoot3</t>
  </si>
  <si>
    <t>Appearance</t>
  </si>
  <si>
    <t>BaySegment</t>
  </si>
  <si>
    <t>OTB</t>
  </si>
  <si>
    <t>SedimentType</t>
  </si>
  <si>
    <t>EpiphyteDensity</t>
  </si>
  <si>
    <t>EpiphyteType</t>
  </si>
  <si>
    <t>Time</t>
  </si>
  <si>
    <t>Year</t>
  </si>
  <si>
    <t>Month</t>
  </si>
  <si>
    <t>Day</t>
  </si>
  <si>
    <t>yr</t>
  </si>
  <si>
    <t>grp</t>
  </si>
  <si>
    <t>grpact</t>
  </si>
  <si>
    <t>Crew</t>
  </si>
  <si>
    <t>MonitoringAgency</t>
  </si>
  <si>
    <t>J's A</t>
  </si>
  <si>
    <t>Halodule</t>
  </si>
  <si>
    <t>Syringodium</t>
  </si>
  <si>
    <t>Amen</t>
  </si>
  <si>
    <t>Thalassia</t>
  </si>
  <si>
    <t>empty</t>
  </si>
  <si>
    <t>Jay's B</t>
  </si>
  <si>
    <t>Guppies</t>
  </si>
  <si>
    <t>Date</t>
  </si>
  <si>
    <t>Transect#</t>
  </si>
  <si>
    <t>CountTech</t>
  </si>
  <si>
    <t>SeagrassEdge</t>
  </si>
  <si>
    <t>Secchi</t>
  </si>
  <si>
    <t>Sonde</t>
  </si>
  <si>
    <t>Weather</t>
  </si>
  <si>
    <t>PR, JM</t>
  </si>
  <si>
    <t>N</t>
  </si>
  <si>
    <t>KM, MG</t>
  </si>
  <si>
    <t>sunny, 18km wind, clear, nice day</t>
  </si>
  <si>
    <t>JF</t>
  </si>
  <si>
    <t>sunny, clear</t>
  </si>
  <si>
    <t>sunny, clear, temperate</t>
  </si>
  <si>
    <t>MG</t>
  </si>
  <si>
    <t>sunny, clear skies, 80-90F</t>
  </si>
  <si>
    <t>Comments</t>
  </si>
  <si>
    <t>huge increase in seagrass halfway between 0 and 250</t>
  </si>
  <si>
    <t>heavy floating seagrass</t>
  </si>
  <si>
    <t>first one with real visibility</t>
  </si>
  <si>
    <t>ManateeCAJ</t>
  </si>
  <si>
    <t>BullShark</t>
  </si>
  <si>
    <t>MightyManatee</t>
  </si>
  <si>
    <t>SqrSz</t>
  </si>
  <si>
    <t>Dolphins</t>
  </si>
  <si>
    <t>Little fish observed</t>
  </si>
  <si>
    <t>fish observed</t>
  </si>
  <si>
    <t>ManateeWed</t>
  </si>
  <si>
    <t>SharkWed</t>
  </si>
  <si>
    <t>fish</t>
  </si>
  <si>
    <t>dark</t>
  </si>
  <si>
    <t>ZebraShark</t>
  </si>
  <si>
    <t>shells, murky</t>
  </si>
  <si>
    <t>BlackPantherManatee</t>
  </si>
  <si>
    <t>All</t>
  </si>
  <si>
    <t>ManateeThursday</t>
  </si>
  <si>
    <t>puffer fish</t>
  </si>
  <si>
    <t>shells</t>
  </si>
  <si>
    <t>SpicyScallop</t>
  </si>
  <si>
    <t>sponge, horseshoe crab</t>
  </si>
  <si>
    <t>blue crab</t>
  </si>
  <si>
    <t>LR</t>
  </si>
  <si>
    <t>Sunny</t>
  </si>
  <si>
    <t>Manatee</t>
  </si>
  <si>
    <t>Sunny, light breeze &amp; chop</t>
  </si>
  <si>
    <t>TB</t>
  </si>
  <si>
    <t>Sunny, choppy</t>
  </si>
  <si>
    <t>ZebraSharks</t>
  </si>
  <si>
    <t>Windy, sunny, slightly choppy</t>
  </si>
  <si>
    <t>AD, KZ, LHC</t>
  </si>
  <si>
    <t>CS, CB</t>
  </si>
  <si>
    <t>Shoal</t>
  </si>
  <si>
    <t>Turtle</t>
  </si>
  <si>
    <t>JM</t>
  </si>
  <si>
    <t>Sunny, windy</t>
  </si>
  <si>
    <t>RedStingrays</t>
  </si>
  <si>
    <t>AM</t>
  </si>
  <si>
    <t>Sunny, wavy</t>
  </si>
  <si>
    <t>MK</t>
  </si>
  <si>
    <t>Sunny, windy, cool</t>
  </si>
  <si>
    <t>ManateeTC</t>
  </si>
  <si>
    <t>TC</t>
  </si>
  <si>
    <t>Windy, light breezy</t>
  </si>
  <si>
    <t>SharkWB</t>
  </si>
  <si>
    <t>Windy, 80, sunny</t>
  </si>
  <si>
    <t>WB</t>
  </si>
  <si>
    <t>SharkSS</t>
  </si>
  <si>
    <t>SS</t>
  </si>
  <si>
    <t>Windy, sunny</t>
  </si>
  <si>
    <t>ManateeLN</t>
  </si>
  <si>
    <t>LN</t>
  </si>
  <si>
    <t>Windy, sunny, few clouds, 80</t>
  </si>
  <si>
    <t>crab</t>
  </si>
  <si>
    <t>hermit crab</t>
  </si>
  <si>
    <t>SharksMK</t>
  </si>
  <si>
    <t>SharksJM</t>
  </si>
  <si>
    <t>StingraysOB</t>
  </si>
  <si>
    <t>OB</t>
  </si>
  <si>
    <t>ManateeNB</t>
  </si>
  <si>
    <t>NB</t>
  </si>
  <si>
    <t>Sunny, Calm, Clear</t>
  </si>
  <si>
    <t>MinnowsEC</t>
  </si>
  <si>
    <t>EC</t>
  </si>
  <si>
    <t>BullSharks</t>
  </si>
  <si>
    <t>HS</t>
  </si>
  <si>
    <t>Nice</t>
  </si>
  <si>
    <t>CAJ</t>
  </si>
  <si>
    <t>Sunny, calm</t>
  </si>
  <si>
    <t>Transcribed from top 2 rows of data sheets created from 10/20-10/24, 2025</t>
  </si>
  <si>
    <t>AvgDepth</t>
  </si>
  <si>
    <t>Sediment Score</t>
  </si>
  <si>
    <t>BB abundance for plots on Oct. 20, 2025</t>
  </si>
  <si>
    <t>Average over all days</t>
  </si>
  <si>
    <t>Epiphyte</t>
  </si>
  <si>
    <t>BladeLength</t>
  </si>
  <si>
    <t>ShootDensity(#/m2)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</si>
</sst>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0"/>
      <color rgb="FFBCBCBC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" fontId="0" fillId="0" borderId="0" xfId="0" applyNumberFormat="1"/>
    <xf numFmtId="2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65" fontId="0" fillId="0" borderId="0" xfId="0" applyNumberFormat="1"/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/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165" fontId="0" fillId="0" borderId="1" xfId="0" applyNumberFormat="1" applyBorder="1"/>
    <xf numFmtId="0" fontId="0" fillId="0" borderId="1" xfId="0" applyBorder="1"/>
    <xf numFmtId="165" fontId="3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BraunBlanquet!$B$2</c:f>
              <c:strCache>
                <c:ptCount val="1"/>
                <c:pt idx="0">
                  <c:v>Manatee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BraunBlanquet!$A$3:$A$7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BraunBlanquet!$B$3:$B$7</c:f>
              <c:numCache>
                <c:formatCode>0.0</c:formatCode>
                <c:ptCount val="5"/>
                <c:pt idx="0">
                  <c:v>3.3888889999999998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2.8333330000000001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0-44C1-B39D-71D7349F36C7}"/>
            </c:ext>
          </c:extLst>
        </c:ser>
        <c:ser>
          <c:idx val="1"/>
          <c:order val="1"/>
          <c:tx>
            <c:strRef>
              <c:f>BraunBlanquet!$C$2</c:f>
              <c:strCache>
                <c:ptCount val="1"/>
                <c:pt idx="0">
                  <c:v>Shoal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BraunBlanquet!$A$3:$A$7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BraunBlanquet!$C$3:$C$7</c:f>
              <c:numCache>
                <c:formatCode>0.0</c:formatCode>
                <c:ptCount val="5"/>
                <c:pt idx="0">
                  <c:v>1.8416669999999999</c:v>
                </c:pt>
                <c:pt idx="1">
                  <c:v>1.476923</c:v>
                </c:pt>
                <c:pt idx="2">
                  <c:v>2.75</c:v>
                </c:pt>
                <c:pt idx="3">
                  <c:v>3.4285709999999998</c:v>
                </c:pt>
                <c:pt idx="4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A0-44C1-B39D-71D7349F36C7}"/>
            </c:ext>
          </c:extLst>
        </c:ser>
        <c:ser>
          <c:idx val="2"/>
          <c:order val="2"/>
          <c:tx>
            <c:strRef>
              <c:f>BraunBlanquet!$D$2</c:f>
              <c:strCache>
                <c:ptCount val="1"/>
                <c:pt idx="0">
                  <c:v>Turtle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BraunBlanquet!$A$3:$A$7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BraunBlanquet!$D$3:$D$7</c:f>
              <c:numCache>
                <c:formatCode>0.0</c:formatCode>
                <c:ptCount val="5"/>
                <c:pt idx="0">
                  <c:v>2.6666669999999999</c:v>
                </c:pt>
                <c:pt idx="2">
                  <c:v>4.5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A0-44C1-B39D-71D7349F3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8046784"/>
        <c:axId val="1808044864"/>
      </c:barChart>
      <c:dateAx>
        <c:axId val="1808046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044864"/>
        <c:crosses val="autoZero"/>
        <c:auto val="1"/>
        <c:lblOffset val="100"/>
        <c:baseTimeUnit val="days"/>
      </c:dateAx>
      <c:valAx>
        <c:axId val="180804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04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'BB-10-20'!$B$3</c:f>
              <c:strCache>
                <c:ptCount val="1"/>
                <c:pt idx="0">
                  <c:v>Manatee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'BB-10-20'!$A$4:$A$9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</c:numCache>
            </c:numRef>
          </c:cat>
          <c:val>
            <c:numRef>
              <c:f>'BB-10-20'!$B$4:$B$9</c:f>
              <c:numCache>
                <c:formatCode>0.0</c:formatCode>
                <c:ptCount val="6"/>
                <c:pt idx="1">
                  <c:v>1.25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8-4942-8B80-9BCD77D5B044}"/>
            </c:ext>
          </c:extLst>
        </c:ser>
        <c:ser>
          <c:idx val="1"/>
          <c:order val="1"/>
          <c:tx>
            <c:strRef>
              <c:f>'BB-10-20'!$C$3</c:f>
              <c:strCache>
                <c:ptCount val="1"/>
                <c:pt idx="0">
                  <c:v>Shoal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'BB-10-20'!$A$4:$A$9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</c:numCache>
            </c:numRef>
          </c:cat>
          <c:val>
            <c:numRef>
              <c:f>'BB-10-20'!$C$4:$C$9</c:f>
              <c:numCache>
                <c:formatCode>0.0</c:formatCode>
                <c:ptCount val="6"/>
                <c:pt idx="0">
                  <c:v>1</c:v>
                </c:pt>
                <c:pt idx="1">
                  <c:v>1.5</c:v>
                </c:pt>
                <c:pt idx="2">
                  <c:v>1.0249999999999999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8-4942-8B80-9BCD77D5B044}"/>
            </c:ext>
          </c:extLst>
        </c:ser>
        <c:ser>
          <c:idx val="2"/>
          <c:order val="2"/>
          <c:tx>
            <c:strRef>
              <c:f>'BB-10-20'!$D$3</c:f>
              <c:strCache>
                <c:ptCount val="1"/>
                <c:pt idx="0">
                  <c:v>Turtle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'BB-10-20'!$A$4:$A$9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</c:numCache>
            </c:numRef>
          </c:cat>
          <c:val>
            <c:numRef>
              <c:f>'BB-10-20'!$D$4:$D$9</c:f>
              <c:numCache>
                <c:formatCode>0.0</c:formatCode>
                <c:ptCount val="6"/>
                <c:pt idx="0">
                  <c:v>1</c:v>
                </c:pt>
                <c:pt idx="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28-4942-8B80-9BCD77D5B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989888"/>
        <c:axId val="348990368"/>
      </c:barChart>
      <c:catAx>
        <c:axId val="3489898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90368"/>
        <c:crosses val="autoZero"/>
        <c:auto val="1"/>
        <c:lblAlgn val="ctr"/>
        <c:lblOffset val="100"/>
        <c:noMultiLvlLbl val="0"/>
      </c:catAx>
      <c:valAx>
        <c:axId val="3489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Appearance</a:t>
            </a:r>
            <a:r>
              <a:rPr lang="en-US" baseline="0"/>
              <a:t> Score</a:t>
            </a:r>
            <a:endParaRPr lang="en-US"/>
          </a:p>
        </c:rich>
      </c:tx>
      <c:layout>
        <c:manualLayout>
          <c:xMode val="edge"/>
          <c:yMode val="edge"/>
          <c:x val="0.401159667541557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Appearance!$B$1</c:f>
              <c:strCache>
                <c:ptCount val="1"/>
                <c:pt idx="0">
                  <c:v>Manatee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Appearance!$A$2:$A$6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Appearance!$B$2:$B$6</c:f>
              <c:numCache>
                <c:formatCode>0.0</c:formatCode>
                <c:ptCount val="5"/>
                <c:pt idx="0">
                  <c:v>2.1111110000000002</c:v>
                </c:pt>
                <c:pt idx="1">
                  <c:v>2.3333330000000001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A-47B6-BA8C-B3D186BC77EC}"/>
            </c:ext>
          </c:extLst>
        </c:ser>
        <c:ser>
          <c:idx val="1"/>
          <c:order val="1"/>
          <c:tx>
            <c:strRef>
              <c:f>Appearance!$C$1</c:f>
              <c:strCache>
                <c:ptCount val="1"/>
                <c:pt idx="0">
                  <c:v>Shoal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Appearance!$A$2:$A$6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Appearance!$C$2:$C$6</c:f>
              <c:numCache>
                <c:formatCode>0.0</c:formatCode>
                <c:ptCount val="5"/>
                <c:pt idx="0">
                  <c:v>2.5</c:v>
                </c:pt>
                <c:pt idx="1">
                  <c:v>2.3076919999999999</c:v>
                </c:pt>
                <c:pt idx="2">
                  <c:v>2</c:v>
                </c:pt>
                <c:pt idx="3">
                  <c:v>2.285714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A-47B6-BA8C-B3D186BC77EC}"/>
            </c:ext>
          </c:extLst>
        </c:ser>
        <c:ser>
          <c:idx val="2"/>
          <c:order val="2"/>
          <c:tx>
            <c:strRef>
              <c:f>Appearance!$D$1</c:f>
              <c:strCache>
                <c:ptCount val="1"/>
                <c:pt idx="0">
                  <c:v>Turtle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Appearance!$A$2:$A$6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Appearance!$D$2:$D$6</c:f>
              <c:numCache>
                <c:formatCode>0.0</c:formatCode>
                <c:ptCount val="5"/>
                <c:pt idx="0">
                  <c:v>3.3333330000000001</c:v>
                </c:pt>
                <c:pt idx="2">
                  <c:v>2</c:v>
                </c:pt>
                <c:pt idx="3">
                  <c:v>3</c:v>
                </c:pt>
                <c:pt idx="4">
                  <c:v>2.4545400000000002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4A-47B6-BA8C-B3D186BC7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965408"/>
        <c:axId val="348977888"/>
      </c:barChart>
      <c:dateAx>
        <c:axId val="348965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77888"/>
        <c:crosses val="autoZero"/>
        <c:auto val="1"/>
        <c:lblOffset val="100"/>
        <c:baseTimeUnit val="days"/>
      </c:dateAx>
      <c:valAx>
        <c:axId val="3489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6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Epiphyte</a:t>
            </a:r>
            <a:r>
              <a:rPr lang="en-US" baseline="0"/>
              <a:t> Coverage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Epiphytes!$B$1</c:f>
              <c:strCache>
                <c:ptCount val="1"/>
                <c:pt idx="0">
                  <c:v>Manatee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Epiphytes!$A$2:$A$5</c:f>
              <c:numCache>
                <c:formatCode>m/d/yyyy</c:formatCode>
                <c:ptCount val="4"/>
                <c:pt idx="0">
                  <c:v>45951</c:v>
                </c:pt>
                <c:pt idx="1">
                  <c:v>45952</c:v>
                </c:pt>
                <c:pt idx="2">
                  <c:v>45953</c:v>
                </c:pt>
                <c:pt idx="3">
                  <c:v>45954</c:v>
                </c:pt>
              </c:numCache>
            </c:numRef>
          </c:cat>
          <c:val>
            <c:numRef>
              <c:f>Epiphytes!$B$2:$B$5</c:f>
              <c:numCache>
                <c:formatCode>0.0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2.5</c:v>
                </c:pt>
                <c:pt idx="3">
                  <c:v>2.6666669999999999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2-43A3-BBBE-A049CDE9DF90}"/>
            </c:ext>
          </c:extLst>
        </c:ser>
        <c:ser>
          <c:idx val="1"/>
          <c:order val="1"/>
          <c:tx>
            <c:strRef>
              <c:f>Epiphytes!$C$1</c:f>
              <c:strCache>
                <c:ptCount val="1"/>
                <c:pt idx="0">
                  <c:v>Shoal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Epiphytes!$A$2:$A$5</c:f>
              <c:numCache>
                <c:formatCode>m/d/yyyy</c:formatCode>
                <c:ptCount val="4"/>
                <c:pt idx="0">
                  <c:v>45951</c:v>
                </c:pt>
                <c:pt idx="1">
                  <c:v>45952</c:v>
                </c:pt>
                <c:pt idx="2">
                  <c:v>45953</c:v>
                </c:pt>
                <c:pt idx="3">
                  <c:v>45954</c:v>
                </c:pt>
              </c:numCache>
            </c:numRef>
          </c:cat>
          <c:val>
            <c:numRef>
              <c:f>Epiphytes!$C$2:$C$5</c:f>
              <c:numCache>
                <c:formatCode>0.0</c:formatCode>
                <c:ptCount val="4"/>
                <c:pt idx="0">
                  <c:v>2.538462</c:v>
                </c:pt>
                <c:pt idx="1">
                  <c:v>1.5</c:v>
                </c:pt>
                <c:pt idx="2">
                  <c:v>3.4285709999999998</c:v>
                </c:pt>
                <c:pt idx="3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2-43A3-BBBE-A049CDE9DF90}"/>
            </c:ext>
          </c:extLst>
        </c:ser>
        <c:ser>
          <c:idx val="2"/>
          <c:order val="2"/>
          <c:tx>
            <c:strRef>
              <c:f>Epiphytes!$D$1</c:f>
              <c:strCache>
                <c:ptCount val="1"/>
                <c:pt idx="0">
                  <c:v>Turtle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Epiphytes!$A$2:$A$5</c:f>
              <c:numCache>
                <c:formatCode>m/d/yyyy</c:formatCode>
                <c:ptCount val="4"/>
                <c:pt idx="0">
                  <c:v>45951</c:v>
                </c:pt>
                <c:pt idx="1">
                  <c:v>45952</c:v>
                </c:pt>
                <c:pt idx="2">
                  <c:v>45953</c:v>
                </c:pt>
                <c:pt idx="3">
                  <c:v>45954</c:v>
                </c:pt>
              </c:numCache>
            </c:numRef>
          </c:cat>
          <c:val>
            <c:numRef>
              <c:f>Epiphytes!$D$2:$D$5</c:f>
              <c:numCache>
                <c:formatCode>0.0</c:formatCode>
                <c:ptCount val="4"/>
                <c:pt idx="1">
                  <c:v>2</c:v>
                </c:pt>
                <c:pt idx="2">
                  <c:v>3</c:v>
                </c:pt>
                <c:pt idx="3">
                  <c:v>2.7272729999999998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42-43A3-BBBE-A049CDE9D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973568"/>
        <c:axId val="348975488"/>
      </c:barChart>
      <c:dateAx>
        <c:axId val="348973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75488"/>
        <c:crosses val="autoZero"/>
        <c:auto val="1"/>
        <c:lblOffset val="100"/>
        <c:baseTimeUnit val="days"/>
      </c:dateAx>
      <c:valAx>
        <c:axId val="34897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7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Blade Lengths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BladeLength!$B$1</c:f>
              <c:strCache>
                <c:ptCount val="1"/>
                <c:pt idx="0">
                  <c:v>Manatee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BladeLength!$A$2:$A$6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BladeLength!$B$2:$B$6</c:f>
              <c:numCache>
                <c:formatCode>0.0</c:formatCode>
                <c:ptCount val="5"/>
                <c:pt idx="0">
                  <c:v>26</c:v>
                </c:pt>
                <c:pt idx="1">
                  <c:v>20.9</c:v>
                </c:pt>
                <c:pt idx="3">
                  <c:v>26.400000000000002</c:v>
                </c:pt>
                <c:pt idx="4">
                  <c:v>34.099999999999994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0-44F8-8079-131E17EF275C}"/>
            </c:ext>
          </c:extLst>
        </c:ser>
        <c:ser>
          <c:idx val="1"/>
          <c:order val="1"/>
          <c:tx>
            <c:strRef>
              <c:f>BladeLength!$C$1</c:f>
              <c:strCache>
                <c:ptCount val="1"/>
                <c:pt idx="0">
                  <c:v>Shoal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BladeLength!$A$2:$A$6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BladeLength!$C$2:$C$6</c:f>
              <c:numCache>
                <c:formatCode>0.0</c:formatCode>
                <c:ptCount val="5"/>
                <c:pt idx="0">
                  <c:v>16.899999999999999</c:v>
                </c:pt>
                <c:pt idx="1">
                  <c:v>19.733333333333334</c:v>
                </c:pt>
                <c:pt idx="2">
                  <c:v>10.3</c:v>
                </c:pt>
                <c:pt idx="3">
                  <c:v>26.475000000000001</c:v>
                </c:pt>
                <c:pt idx="4">
                  <c:v>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0-44F8-8079-131E17EF275C}"/>
            </c:ext>
          </c:extLst>
        </c:ser>
        <c:ser>
          <c:idx val="2"/>
          <c:order val="2"/>
          <c:tx>
            <c:strRef>
              <c:f>BladeLength!$D$1</c:f>
              <c:strCache>
                <c:ptCount val="1"/>
                <c:pt idx="0">
                  <c:v>Turtle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BladeLength!$A$2:$A$6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BladeLength!$D$2:$D$6</c:f>
              <c:numCache>
                <c:formatCode>General</c:formatCode>
                <c:ptCount val="5"/>
                <c:pt idx="4" formatCode="0.0">
                  <c:v>30.75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C0-44F8-8079-131E17EF2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816224"/>
        <c:axId val="1985816704"/>
      </c:barChart>
      <c:catAx>
        <c:axId val="1985816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816704"/>
        <c:crosses val="autoZero"/>
        <c:auto val="0"/>
        <c:lblAlgn val="ctr"/>
        <c:lblOffset val="100"/>
        <c:noMultiLvlLbl val="0"/>
      </c:catAx>
      <c:valAx>
        <c:axId val="19858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81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Shoot Counts (#/m2)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Shoot!$B$1</c:f>
              <c:strCache>
                <c:ptCount val="1"/>
                <c:pt idx="0">
                  <c:v>Manatee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Shoot!$A$2:$A$5</c:f>
              <c:numCache>
                <c:formatCode>m/d/yyyy</c:formatCode>
                <c:ptCount val="4"/>
                <c:pt idx="0">
                  <c:v>45951</c:v>
                </c:pt>
                <c:pt idx="1">
                  <c:v>45952</c:v>
                </c:pt>
                <c:pt idx="2">
                  <c:v>45953</c:v>
                </c:pt>
                <c:pt idx="3">
                  <c:v>45954</c:v>
                </c:pt>
              </c:numCache>
            </c:numRef>
          </c:cat>
          <c:val>
            <c:numRef>
              <c:f>Shoot!$B$2:$B$5</c:f>
              <c:numCache>
                <c:formatCode>General</c:formatCode>
                <c:ptCount val="4"/>
                <c:pt idx="0" formatCode="0.0">
                  <c:v>316.66666666666669</c:v>
                </c:pt>
                <c:pt idx="2" formatCode="0.0">
                  <c:v>1044.4444444444443</c:v>
                </c:pt>
                <c:pt idx="3" formatCode="0.0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0-41F8-983B-DFEF6AC2A59E}"/>
            </c:ext>
          </c:extLst>
        </c:ser>
        <c:ser>
          <c:idx val="1"/>
          <c:order val="1"/>
          <c:tx>
            <c:strRef>
              <c:f>Shoot!$C$1</c:f>
              <c:strCache>
                <c:ptCount val="1"/>
                <c:pt idx="0">
                  <c:v>Shoal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Shoot!$A$2:$A$5</c:f>
              <c:numCache>
                <c:formatCode>m/d/yyyy</c:formatCode>
                <c:ptCount val="4"/>
                <c:pt idx="0">
                  <c:v>45951</c:v>
                </c:pt>
                <c:pt idx="1">
                  <c:v>45952</c:v>
                </c:pt>
                <c:pt idx="2">
                  <c:v>45953</c:v>
                </c:pt>
                <c:pt idx="3">
                  <c:v>45954</c:v>
                </c:pt>
              </c:numCache>
            </c:numRef>
          </c:cat>
          <c:val>
            <c:numRef>
              <c:f>Shoot!$C$2:$C$5</c:f>
              <c:numCache>
                <c:formatCode>0.0</c:formatCode>
                <c:ptCount val="4"/>
                <c:pt idx="0">
                  <c:v>169.33333333333334</c:v>
                </c:pt>
                <c:pt idx="1">
                  <c:v>200</c:v>
                </c:pt>
                <c:pt idx="2">
                  <c:v>640.33333333333337</c:v>
                </c:pt>
                <c:pt idx="3">
                  <c:v>766.66666666666674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0-41F8-983B-DFEF6AC2A59E}"/>
            </c:ext>
          </c:extLst>
        </c:ser>
        <c:ser>
          <c:idx val="2"/>
          <c:order val="2"/>
          <c:tx>
            <c:strRef>
              <c:f>Shoot!$D$1</c:f>
              <c:strCache>
                <c:ptCount val="1"/>
                <c:pt idx="0">
                  <c:v>Turtle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Shoot!$A$2:$A$5</c:f>
              <c:numCache>
                <c:formatCode>m/d/yyyy</c:formatCode>
                <c:ptCount val="4"/>
                <c:pt idx="0">
                  <c:v>45951</c:v>
                </c:pt>
                <c:pt idx="1">
                  <c:v>45952</c:v>
                </c:pt>
                <c:pt idx="2">
                  <c:v>45953</c:v>
                </c:pt>
                <c:pt idx="3">
                  <c:v>45954</c:v>
                </c:pt>
              </c:numCache>
            </c:numRef>
          </c:cat>
          <c:val>
            <c:numRef>
              <c:f>Shoot!$D$2:$D$5</c:f>
              <c:numCache>
                <c:formatCode>General</c:formatCode>
                <c:ptCount val="4"/>
                <c:pt idx="3" formatCode="0.0">
                  <c:v>612.33333333333337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6-4146-8B74-C2001EB90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2592"/>
        <c:axId val="3553072"/>
      </c:barChart>
      <c:catAx>
        <c:axId val="3552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072"/>
        <c:crosses val="autoZero"/>
        <c:auto val="0"/>
        <c:lblAlgn val="ctr"/>
        <c:lblOffset val="100"/>
        <c:noMultiLvlLbl val="0"/>
      </c:catAx>
      <c:valAx>
        <c:axId val="355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Secchi Depth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Secchi!$B$1</c:f>
              <c:strCache>
                <c:ptCount val="1"/>
                <c:pt idx="0">
                  <c:v>Secchi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Secchi!$A$2:$A$6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Secchi!$B$2:$B$6</c:f>
              <c:numCache>
                <c:formatCode>General</c:formatCode>
                <c:ptCount val="5"/>
                <c:pt idx="0">
                  <c:v>200</c:v>
                </c:pt>
                <c:pt idx="1">
                  <c:v>190</c:v>
                </c:pt>
                <c:pt idx="2">
                  <c:v>240</c:v>
                </c:pt>
                <c:pt idx="3">
                  <c:v>180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6-4469-B56D-31DB92568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084896"/>
        <c:axId val="239010528"/>
      </c:barChart>
      <c:dateAx>
        <c:axId val="251084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10528"/>
        <c:crosses val="autoZero"/>
        <c:auto val="1"/>
        <c:lblOffset val="100"/>
        <c:baseTimeUnit val="days"/>
      </c:dateAx>
      <c:valAx>
        <c:axId val="23901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8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Depth!$B$1</c:f>
              <c:strCache>
                <c:ptCount val="1"/>
                <c:pt idx="0">
                  <c:v>AvgDepth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Depth!$A$2:$A$6</c:f>
              <c:numCache>
                <c:formatCode>m/d/yyyy</c:formatCode>
                <c:ptCount val="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</c:numCache>
            </c:numRef>
          </c:cat>
          <c:val>
            <c:numRef>
              <c:f>Depth!$B$2:$B$6</c:f>
              <c:numCache>
                <c:formatCode>0.0</c:formatCode>
                <c:ptCount val="5"/>
                <c:pt idx="0">
                  <c:v>93.736842105263165</c:v>
                </c:pt>
                <c:pt idx="1">
                  <c:v>67.15789473684211</c:v>
                </c:pt>
                <c:pt idx="2">
                  <c:v>54.625</c:v>
                </c:pt>
                <c:pt idx="3">
                  <c:v>52.266666666666666</c:v>
                </c:pt>
                <c:pt idx="4">
                  <c:v>35.307692307692307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4-4532-9A88-433B08F32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4976"/>
        <c:axId val="8552096"/>
      </c:barChart>
      <c:dateAx>
        <c:axId val="8554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96"/>
        <c:crosses val="autoZero"/>
        <c:auto val="1"/>
        <c:lblOffset val="100"/>
        <c:baseTimeUnit val="days"/>
      </c:dateAx>
      <c:valAx>
        <c:axId val="85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10</xdr:row>
      <xdr:rowOff>138112</xdr:rowOff>
    </xdr:from>
    <xdr:to>
      <xdr:col>9</xdr:col>
      <xdr:colOff>266700</xdr:colOff>
      <xdr:row>26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1A6F7B-7679-6D23-EC03-5AFCAD57E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457199</xdr:colOff>
      <xdr:row>9</xdr:row>
      <xdr:rowOff>138112</xdr:rowOff>
    </xdr:from>
    <xdr:to>
      <xdr:col>8</xdr:col>
      <xdr:colOff>704849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8192BB-78D2-CD89-387F-DBAADA02A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7</xdr:row>
      <xdr:rowOff>52387</xdr:rowOff>
    </xdr:from>
    <xdr:to>
      <xdr:col>8</xdr:col>
      <xdr:colOff>504825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623925-2FD4-0A94-F8C1-1DA40B6AC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6</xdr:row>
      <xdr:rowOff>119062</xdr:rowOff>
    </xdr:from>
    <xdr:to>
      <xdr:col>8</xdr:col>
      <xdr:colOff>104775</xdr:colOff>
      <xdr:row>21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D66A9-4E3A-43F4-C022-8A6F280AF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8</xdr:row>
      <xdr:rowOff>147637</xdr:rowOff>
    </xdr:from>
    <xdr:to>
      <xdr:col>7</xdr:col>
      <xdr:colOff>485775</xdr:colOff>
      <xdr:row>23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B3C398-46A1-B903-72FD-C424342A1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7</xdr:row>
      <xdr:rowOff>61912</xdr:rowOff>
    </xdr:from>
    <xdr:to>
      <xdr:col>7</xdr:col>
      <xdr:colOff>533400</xdr:colOff>
      <xdr:row>21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CD7CD-94F6-8031-A546-27ECE14FA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9</xdr:row>
      <xdr:rowOff>0</xdr:rowOff>
    </xdr:from>
    <xdr:to>
      <xdr:col>8</xdr:col>
      <xdr:colOff>190500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9928B2-F844-4E0E-938B-A18FCAD86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7</xdr:row>
      <xdr:rowOff>128587</xdr:rowOff>
    </xdr:from>
    <xdr:to>
      <xdr:col>8</xdr:col>
      <xdr:colOff>19050</xdr:colOff>
      <xdr:row>22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6CF64-4A3E-AD27-CDFE-6D2036B21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BD53-BAAA-40DB-8574-3C9CAEFE36CC}">
  <dimension ref="A1:AA9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Q1" activeCellId="1" sqref="C1:C1048576 Q1:Q1048576"/>
    </sheetView>
  </sheetViews>
  <sheetFormatPr defaultRowHeight="15" x14ac:dyDescent="0.25"/>
  <cols>
    <col min="1" max="1" width="10.7109375" style="3" bestFit="1" customWidth="1"/>
    <col min="2" max="6" width="10.7109375" style="3" customWidth="1"/>
    <col min="7" max="7" width="15.85546875" bestFit="1" customWidth="1"/>
    <col min="10" max="10" width="12.140625" bestFit="1" customWidth="1"/>
    <col min="11" max="11" width="11" bestFit="1" customWidth="1"/>
    <col min="12" max="12" width="11" customWidth="1"/>
    <col min="14" max="14" width="9.140625" style="2"/>
    <col min="15" max="16" width="11" customWidth="1"/>
    <col min="17" max="17" width="14" bestFit="1" customWidth="1"/>
    <col min="19" max="19" width="9" bestFit="1" customWidth="1"/>
    <col min="20" max="20" width="7" bestFit="1" customWidth="1"/>
  </cols>
  <sheetData>
    <row r="1" spans="1:27" x14ac:dyDescent="0.25">
      <c r="A1" s="3" t="s">
        <v>22</v>
      </c>
      <c r="B1" s="3" t="s">
        <v>20</v>
      </c>
      <c r="C1" s="3" t="s">
        <v>21</v>
      </c>
      <c r="D1" s="3" t="s">
        <v>23</v>
      </c>
      <c r="E1" s="3" t="s">
        <v>24</v>
      </c>
      <c r="F1" s="3" t="s">
        <v>25</v>
      </c>
      <c r="G1" s="3" t="s">
        <v>26</v>
      </c>
      <c r="H1" t="s">
        <v>13</v>
      </c>
      <c r="I1" t="s">
        <v>0</v>
      </c>
      <c r="J1" t="s">
        <v>1</v>
      </c>
      <c r="K1" s="1" t="s">
        <v>2</v>
      </c>
      <c r="L1" s="1" t="s">
        <v>12</v>
      </c>
      <c r="M1" t="s">
        <v>3</v>
      </c>
      <c r="N1" s="2" t="s">
        <v>18</v>
      </c>
      <c r="O1" s="1" t="s">
        <v>17</v>
      </c>
      <c r="P1" s="1" t="s">
        <v>16</v>
      </c>
      <c r="Q1" t="s">
        <v>15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58</v>
      </c>
      <c r="AA1" t="s">
        <v>51</v>
      </c>
    </row>
    <row r="2" spans="1:27" x14ac:dyDescent="0.25">
      <c r="A2" s="3">
        <v>2020</v>
      </c>
      <c r="B2" s="3">
        <v>10</v>
      </c>
      <c r="C2" s="3">
        <v>20</v>
      </c>
      <c r="D2" s="3" t="s">
        <v>27</v>
      </c>
      <c r="E2" s="3" t="s">
        <v>27</v>
      </c>
      <c r="F2" s="3" t="s">
        <v>27</v>
      </c>
      <c r="G2" s="3" t="s">
        <v>27</v>
      </c>
      <c r="H2" t="s">
        <v>14</v>
      </c>
      <c r="I2">
        <v>0</v>
      </c>
      <c r="J2" t="s">
        <v>32</v>
      </c>
      <c r="K2" s="1">
        <v>0</v>
      </c>
      <c r="L2" s="1"/>
      <c r="M2">
        <v>92</v>
      </c>
      <c r="N2" s="2">
        <v>0.48402777777777778</v>
      </c>
      <c r="O2" s="1"/>
      <c r="P2" s="1"/>
    </row>
    <row r="3" spans="1:27" x14ac:dyDescent="0.25">
      <c r="A3" s="3">
        <v>2020</v>
      </c>
      <c r="B3" s="3">
        <v>10</v>
      </c>
      <c r="C3" s="3">
        <v>20</v>
      </c>
      <c r="D3" s="3" t="s">
        <v>30</v>
      </c>
      <c r="E3" s="3" t="s">
        <v>30</v>
      </c>
      <c r="F3" s="3" t="s">
        <v>30</v>
      </c>
      <c r="G3" s="3" t="s">
        <v>30</v>
      </c>
      <c r="H3" t="s">
        <v>14</v>
      </c>
      <c r="I3">
        <v>0</v>
      </c>
      <c r="J3" t="s">
        <v>86</v>
      </c>
      <c r="K3" s="1">
        <v>1</v>
      </c>
      <c r="L3" s="1">
        <v>3</v>
      </c>
      <c r="M3">
        <v>86</v>
      </c>
      <c r="N3" s="2">
        <v>0.47569444444444442</v>
      </c>
      <c r="O3" s="1"/>
      <c r="P3" s="1"/>
      <c r="AA3" t="s">
        <v>52</v>
      </c>
    </row>
    <row r="4" spans="1:27" x14ac:dyDescent="0.25">
      <c r="A4" s="3">
        <v>2020</v>
      </c>
      <c r="B4" s="3">
        <v>10</v>
      </c>
      <c r="C4" s="3">
        <v>20</v>
      </c>
      <c r="D4" s="3" t="s">
        <v>33</v>
      </c>
      <c r="E4" s="3" t="s">
        <v>33</v>
      </c>
      <c r="F4" s="3" t="s">
        <v>33</v>
      </c>
      <c r="G4" s="3" t="s">
        <v>33</v>
      </c>
      <c r="H4" t="s">
        <v>14</v>
      </c>
      <c r="I4">
        <v>0</v>
      </c>
      <c r="J4" t="s">
        <v>86</v>
      </c>
      <c r="K4" s="1">
        <v>1</v>
      </c>
      <c r="L4" s="1">
        <v>3</v>
      </c>
      <c r="M4">
        <v>98</v>
      </c>
      <c r="N4" s="2">
        <v>0.49722222222222223</v>
      </c>
      <c r="O4" s="1"/>
      <c r="P4" s="1">
        <v>3</v>
      </c>
      <c r="Q4" s="1">
        <v>2</v>
      </c>
    </row>
    <row r="5" spans="1:27" x14ac:dyDescent="0.25">
      <c r="A5" s="3">
        <v>2020</v>
      </c>
      <c r="B5" s="3">
        <v>10</v>
      </c>
      <c r="C5" s="3">
        <v>20</v>
      </c>
      <c r="D5" s="3" t="s">
        <v>30</v>
      </c>
      <c r="E5" s="3" t="s">
        <v>30</v>
      </c>
      <c r="F5" s="3" t="s">
        <v>30</v>
      </c>
      <c r="G5" s="3" t="s">
        <v>30</v>
      </c>
      <c r="H5" t="s">
        <v>14</v>
      </c>
      <c r="I5">
        <v>0</v>
      </c>
      <c r="J5" t="s">
        <v>87</v>
      </c>
      <c r="K5" s="1">
        <v>1</v>
      </c>
      <c r="L5" s="1">
        <v>4</v>
      </c>
      <c r="M5">
        <v>86</v>
      </c>
      <c r="N5" s="2">
        <v>0.47499999999999998</v>
      </c>
      <c r="O5" s="1"/>
      <c r="P5" s="1"/>
    </row>
    <row r="6" spans="1:27" x14ac:dyDescent="0.25">
      <c r="A6" s="3">
        <v>2020</v>
      </c>
      <c r="B6" s="3">
        <v>10</v>
      </c>
      <c r="C6" s="3">
        <v>20</v>
      </c>
      <c r="D6" s="3" t="s">
        <v>34</v>
      </c>
      <c r="E6" s="3" t="s">
        <v>34</v>
      </c>
      <c r="F6" s="3" t="s">
        <v>34</v>
      </c>
      <c r="G6" s="3" t="s">
        <v>34</v>
      </c>
      <c r="H6" t="s">
        <v>14</v>
      </c>
      <c r="I6">
        <v>50</v>
      </c>
      <c r="J6" t="s">
        <v>78</v>
      </c>
      <c r="K6" s="1">
        <v>0.5</v>
      </c>
      <c r="L6" s="1">
        <v>3</v>
      </c>
      <c r="M6">
        <v>79</v>
      </c>
      <c r="N6" s="2">
        <v>0.4777777777777778</v>
      </c>
      <c r="O6" s="1"/>
      <c r="P6" s="1">
        <v>1</v>
      </c>
      <c r="Q6" s="1">
        <v>3</v>
      </c>
    </row>
    <row r="7" spans="1:27" x14ac:dyDescent="0.25">
      <c r="A7" s="3">
        <v>2020</v>
      </c>
      <c r="B7" s="3">
        <v>10</v>
      </c>
      <c r="C7" s="3">
        <v>20</v>
      </c>
      <c r="D7" s="3" t="s">
        <v>27</v>
      </c>
      <c r="E7" s="3" t="s">
        <v>27</v>
      </c>
      <c r="F7" s="3" t="s">
        <v>27</v>
      </c>
      <c r="G7" s="3" t="s">
        <v>27</v>
      </c>
      <c r="H7" t="s">
        <v>14</v>
      </c>
      <c r="I7">
        <v>50</v>
      </c>
      <c r="J7" t="s">
        <v>78</v>
      </c>
      <c r="K7" s="1">
        <v>2</v>
      </c>
      <c r="L7" s="1">
        <v>3</v>
      </c>
      <c r="M7">
        <v>75</v>
      </c>
      <c r="N7" s="2">
        <v>0.48194444444444445</v>
      </c>
      <c r="O7" s="1"/>
      <c r="P7" s="1"/>
    </row>
    <row r="8" spans="1:27" x14ac:dyDescent="0.25">
      <c r="A8" s="3">
        <v>2020</v>
      </c>
      <c r="B8" s="3">
        <v>10</v>
      </c>
      <c r="C8" s="3">
        <v>20</v>
      </c>
      <c r="D8" s="3" t="s">
        <v>30</v>
      </c>
      <c r="E8" s="3" t="s">
        <v>30</v>
      </c>
      <c r="F8" s="3" t="s">
        <v>30</v>
      </c>
      <c r="G8" s="3" t="s">
        <v>30</v>
      </c>
      <c r="H8" t="s">
        <v>14</v>
      </c>
      <c r="I8">
        <v>50</v>
      </c>
      <c r="J8" t="s">
        <v>86</v>
      </c>
      <c r="K8" s="1">
        <v>1</v>
      </c>
      <c r="L8" s="1">
        <v>2</v>
      </c>
      <c r="M8">
        <v>79</v>
      </c>
      <c r="N8" s="2">
        <v>0.49722222222222223</v>
      </c>
      <c r="O8" s="1"/>
      <c r="P8" s="1">
        <v>1</v>
      </c>
      <c r="Q8" s="1">
        <v>3</v>
      </c>
      <c r="R8" s="1">
        <v>17</v>
      </c>
      <c r="S8" s="1">
        <v>15</v>
      </c>
      <c r="T8" s="1">
        <v>14</v>
      </c>
      <c r="U8" s="1">
        <v>17</v>
      </c>
      <c r="V8" s="1">
        <v>20</v>
      </c>
      <c r="W8" s="1"/>
      <c r="X8" s="1"/>
      <c r="Y8" s="1"/>
      <c r="Z8" s="1"/>
    </row>
    <row r="9" spans="1:27" x14ac:dyDescent="0.25">
      <c r="A9" s="3">
        <v>2020</v>
      </c>
      <c r="B9" s="3">
        <v>10</v>
      </c>
      <c r="C9" s="3">
        <v>20</v>
      </c>
      <c r="D9" s="3" t="s">
        <v>33</v>
      </c>
      <c r="E9" s="3" t="s">
        <v>33</v>
      </c>
      <c r="F9" s="3" t="s">
        <v>33</v>
      </c>
      <c r="G9" s="3" t="s">
        <v>33</v>
      </c>
      <c r="H9" t="s">
        <v>14</v>
      </c>
      <c r="I9">
        <v>50</v>
      </c>
      <c r="J9" t="s">
        <v>86</v>
      </c>
      <c r="K9" s="1">
        <v>2</v>
      </c>
      <c r="L9" s="1">
        <v>2</v>
      </c>
      <c r="M9">
        <v>78</v>
      </c>
      <c r="N9" s="2">
        <v>0.49027777777777776</v>
      </c>
      <c r="O9" s="1"/>
      <c r="P9" s="1">
        <v>2</v>
      </c>
      <c r="Q9" s="1">
        <v>2</v>
      </c>
    </row>
    <row r="10" spans="1:27" x14ac:dyDescent="0.25">
      <c r="A10" s="3">
        <v>2020</v>
      </c>
      <c r="B10" s="3">
        <v>10</v>
      </c>
      <c r="C10" s="3">
        <v>20</v>
      </c>
      <c r="D10" s="3" t="s">
        <v>30</v>
      </c>
      <c r="E10" s="3" t="s">
        <v>30</v>
      </c>
      <c r="F10" s="3" t="s">
        <v>30</v>
      </c>
      <c r="G10" s="3" t="s">
        <v>30</v>
      </c>
      <c r="H10" t="s">
        <v>14</v>
      </c>
      <c r="I10">
        <v>100</v>
      </c>
      <c r="J10" t="s">
        <v>86</v>
      </c>
      <c r="K10" s="1">
        <v>1</v>
      </c>
      <c r="L10" s="1">
        <v>2</v>
      </c>
      <c r="M10">
        <v>83</v>
      </c>
      <c r="N10" s="2">
        <v>0.48819444444444443</v>
      </c>
      <c r="O10" s="1"/>
      <c r="P10" s="1"/>
      <c r="Q10" s="1"/>
      <c r="AA10" t="s">
        <v>54</v>
      </c>
    </row>
    <row r="11" spans="1:27" x14ac:dyDescent="0.25">
      <c r="A11" s="3">
        <v>2020</v>
      </c>
      <c r="B11" s="3">
        <v>10</v>
      </c>
      <c r="C11" s="3">
        <v>20</v>
      </c>
      <c r="D11" s="3" t="s">
        <v>34</v>
      </c>
      <c r="E11" s="3" t="s">
        <v>34</v>
      </c>
      <c r="F11" s="3" t="s">
        <v>34</v>
      </c>
      <c r="G11" s="3" t="s">
        <v>34</v>
      </c>
      <c r="H11" t="s">
        <v>14</v>
      </c>
      <c r="I11">
        <v>100</v>
      </c>
      <c r="J11" t="s">
        <v>86</v>
      </c>
      <c r="K11" s="1">
        <v>0.1</v>
      </c>
      <c r="L11" s="1">
        <v>1</v>
      </c>
      <c r="M11">
        <v>89</v>
      </c>
      <c r="N11" s="2">
        <v>0.49375000000000002</v>
      </c>
      <c r="P11" s="1">
        <v>3</v>
      </c>
      <c r="Q11" s="1">
        <v>2</v>
      </c>
      <c r="R11" s="1">
        <v>18</v>
      </c>
      <c r="S11" s="1">
        <v>15</v>
      </c>
      <c r="T11" s="1">
        <v>19</v>
      </c>
      <c r="U11" s="1">
        <v>20</v>
      </c>
      <c r="V11" s="1">
        <v>14</v>
      </c>
    </row>
    <row r="12" spans="1:27" x14ac:dyDescent="0.25">
      <c r="A12" s="3">
        <v>2020</v>
      </c>
      <c r="B12" s="3">
        <v>10</v>
      </c>
      <c r="C12" s="3">
        <v>20</v>
      </c>
      <c r="D12" s="3" t="s">
        <v>33</v>
      </c>
      <c r="E12" s="3" t="s">
        <v>33</v>
      </c>
      <c r="F12" s="3" t="s">
        <v>33</v>
      </c>
      <c r="G12" s="3" t="s">
        <v>33</v>
      </c>
      <c r="H12" t="s">
        <v>14</v>
      </c>
      <c r="I12">
        <v>100</v>
      </c>
      <c r="J12" t="s">
        <v>86</v>
      </c>
      <c r="K12" s="1">
        <v>2</v>
      </c>
      <c r="L12" s="1">
        <v>3</v>
      </c>
      <c r="M12">
        <v>77</v>
      </c>
      <c r="N12" s="2">
        <v>0.47916666666666669</v>
      </c>
      <c r="O12" s="1"/>
      <c r="P12" s="1">
        <v>3</v>
      </c>
      <c r="Q12" s="1">
        <v>2</v>
      </c>
    </row>
    <row r="13" spans="1:27" x14ac:dyDescent="0.25">
      <c r="A13" s="3">
        <v>2020</v>
      </c>
      <c r="B13" s="3">
        <v>10</v>
      </c>
      <c r="C13" s="3">
        <v>20</v>
      </c>
      <c r="D13" s="3" t="s">
        <v>27</v>
      </c>
      <c r="E13" s="3" t="s">
        <v>27</v>
      </c>
      <c r="F13" s="3" t="s">
        <v>27</v>
      </c>
      <c r="G13" s="3" t="s">
        <v>27</v>
      </c>
      <c r="H13" t="s">
        <v>14</v>
      </c>
      <c r="I13">
        <v>100</v>
      </c>
      <c r="J13" t="s">
        <v>86</v>
      </c>
      <c r="K13" s="1">
        <v>1</v>
      </c>
      <c r="L13" s="1">
        <v>3</v>
      </c>
      <c r="M13">
        <v>85</v>
      </c>
      <c r="N13" s="2">
        <v>0.49027777777777776</v>
      </c>
      <c r="O13" s="1"/>
      <c r="P13" s="1"/>
    </row>
    <row r="14" spans="1:27" x14ac:dyDescent="0.25">
      <c r="A14" s="3">
        <v>2020</v>
      </c>
      <c r="B14" s="3">
        <v>10</v>
      </c>
      <c r="C14" s="3">
        <v>20</v>
      </c>
      <c r="D14" s="3" t="s">
        <v>30</v>
      </c>
      <c r="E14" s="3" t="s">
        <v>30</v>
      </c>
      <c r="F14" s="3" t="s">
        <v>30</v>
      </c>
      <c r="G14" s="3" t="s">
        <v>30</v>
      </c>
      <c r="H14" t="s">
        <v>14</v>
      </c>
      <c r="I14">
        <v>150</v>
      </c>
      <c r="J14" t="s">
        <v>78</v>
      </c>
      <c r="K14" s="1">
        <v>5</v>
      </c>
      <c r="L14" s="1">
        <v>3</v>
      </c>
      <c r="M14">
        <v>103</v>
      </c>
      <c r="N14" s="2">
        <v>0.4861111111111111</v>
      </c>
      <c r="O14" s="1"/>
      <c r="P14" s="1"/>
      <c r="Q14" s="1"/>
    </row>
    <row r="15" spans="1:27" x14ac:dyDescent="0.25">
      <c r="A15" s="3">
        <v>2020</v>
      </c>
      <c r="B15" s="3">
        <v>10</v>
      </c>
      <c r="C15" s="3">
        <v>20</v>
      </c>
      <c r="D15" s="3" t="s">
        <v>34</v>
      </c>
      <c r="E15" s="3" t="s">
        <v>34</v>
      </c>
      <c r="F15" s="3" t="s">
        <v>34</v>
      </c>
      <c r="G15" s="3" t="s">
        <v>34</v>
      </c>
      <c r="H15" t="s">
        <v>14</v>
      </c>
      <c r="I15">
        <v>150</v>
      </c>
      <c r="J15" t="s">
        <v>78</v>
      </c>
      <c r="K15" s="1">
        <v>2</v>
      </c>
      <c r="L15" s="1">
        <v>3</v>
      </c>
      <c r="M15">
        <v>100</v>
      </c>
      <c r="N15" s="2">
        <v>0.4826388888888889</v>
      </c>
      <c r="O15" s="1"/>
      <c r="P15" s="1">
        <v>3</v>
      </c>
      <c r="Q15" s="1">
        <v>2</v>
      </c>
    </row>
    <row r="16" spans="1:27" x14ac:dyDescent="0.25">
      <c r="A16" s="3">
        <v>2020</v>
      </c>
      <c r="B16" s="3">
        <v>10</v>
      </c>
      <c r="C16" s="3">
        <v>20</v>
      </c>
      <c r="D16" s="3" t="s">
        <v>27</v>
      </c>
      <c r="E16" s="3" t="s">
        <v>27</v>
      </c>
      <c r="F16" s="3" t="s">
        <v>27</v>
      </c>
      <c r="G16" s="3" t="s">
        <v>27</v>
      </c>
      <c r="H16" t="s">
        <v>14</v>
      </c>
      <c r="I16">
        <v>150</v>
      </c>
      <c r="J16" t="s">
        <v>78</v>
      </c>
      <c r="K16" s="1">
        <v>5</v>
      </c>
      <c r="L16" s="1">
        <v>1</v>
      </c>
      <c r="M16">
        <v>104</v>
      </c>
      <c r="N16" s="2">
        <v>0.48819444444444443</v>
      </c>
      <c r="O16" s="1"/>
      <c r="P16" s="1"/>
    </row>
    <row r="17" spans="1:27" x14ac:dyDescent="0.25">
      <c r="A17" s="3">
        <v>2020</v>
      </c>
      <c r="B17" s="3">
        <v>10</v>
      </c>
      <c r="C17" s="3">
        <v>20</v>
      </c>
      <c r="D17" s="3" t="s">
        <v>30</v>
      </c>
      <c r="E17" s="3" t="s">
        <v>30</v>
      </c>
      <c r="F17" s="3" t="s">
        <v>30</v>
      </c>
      <c r="G17" s="3" t="s">
        <v>30</v>
      </c>
      <c r="H17" t="s">
        <v>14</v>
      </c>
      <c r="I17">
        <v>200</v>
      </c>
      <c r="J17" t="s">
        <v>78</v>
      </c>
      <c r="K17" s="1">
        <v>4</v>
      </c>
      <c r="L17" s="1">
        <v>1</v>
      </c>
      <c r="M17">
        <v>106</v>
      </c>
      <c r="N17" s="2">
        <v>0.4826388888888889</v>
      </c>
      <c r="O17" s="1"/>
      <c r="P17" s="1"/>
    </row>
    <row r="18" spans="1:27" x14ac:dyDescent="0.25">
      <c r="A18" s="3">
        <v>2020</v>
      </c>
      <c r="B18" s="3">
        <v>10</v>
      </c>
      <c r="C18" s="3">
        <v>20</v>
      </c>
      <c r="D18" s="3" t="s">
        <v>34</v>
      </c>
      <c r="E18" s="3" t="s">
        <v>34</v>
      </c>
      <c r="F18" s="3" t="s">
        <v>34</v>
      </c>
      <c r="G18" s="3" t="s">
        <v>34</v>
      </c>
      <c r="H18" t="s">
        <v>14</v>
      </c>
      <c r="I18">
        <v>200</v>
      </c>
      <c r="J18" t="s">
        <v>78</v>
      </c>
      <c r="K18" s="1">
        <v>4</v>
      </c>
      <c r="L18" s="1">
        <v>2</v>
      </c>
      <c r="M18">
        <v>107</v>
      </c>
      <c r="N18" s="2">
        <v>0.49305555555555558</v>
      </c>
      <c r="P18" s="1">
        <v>2</v>
      </c>
      <c r="Q18" s="1">
        <v>2</v>
      </c>
      <c r="R18" s="1">
        <v>30</v>
      </c>
      <c r="S18" s="1">
        <v>25</v>
      </c>
      <c r="T18" s="1">
        <v>26</v>
      </c>
      <c r="U18" s="1">
        <v>26</v>
      </c>
      <c r="V18" s="1">
        <v>23</v>
      </c>
    </row>
    <row r="19" spans="1:27" x14ac:dyDescent="0.25">
      <c r="A19" s="3">
        <v>2020</v>
      </c>
      <c r="B19" s="3">
        <v>10</v>
      </c>
      <c r="C19" s="3">
        <v>20</v>
      </c>
      <c r="D19" s="3" t="s">
        <v>30</v>
      </c>
      <c r="E19" s="3" t="s">
        <v>30</v>
      </c>
      <c r="F19" s="3" t="s">
        <v>30</v>
      </c>
      <c r="G19" s="3" t="s">
        <v>30</v>
      </c>
      <c r="H19" t="s">
        <v>14</v>
      </c>
      <c r="I19">
        <v>200</v>
      </c>
      <c r="J19" t="s">
        <v>86</v>
      </c>
      <c r="K19" s="1">
        <v>4</v>
      </c>
      <c r="L19" s="1">
        <v>2</v>
      </c>
      <c r="M19">
        <v>106</v>
      </c>
      <c r="N19" s="2">
        <v>0.4826388888888889</v>
      </c>
      <c r="O19" s="1"/>
      <c r="P19" s="1"/>
    </row>
    <row r="20" spans="1:27" x14ac:dyDescent="0.25">
      <c r="A20" s="3">
        <v>2020</v>
      </c>
      <c r="B20" s="3">
        <v>10</v>
      </c>
      <c r="C20" s="3">
        <v>20</v>
      </c>
      <c r="D20" s="3" t="s">
        <v>34</v>
      </c>
      <c r="E20" s="3" t="s">
        <v>34</v>
      </c>
      <c r="F20" s="3" t="s">
        <v>34</v>
      </c>
      <c r="G20" s="3" t="s">
        <v>34</v>
      </c>
      <c r="H20" t="s">
        <v>14</v>
      </c>
      <c r="I20">
        <v>200</v>
      </c>
      <c r="J20" t="s">
        <v>86</v>
      </c>
      <c r="K20" s="1">
        <v>3</v>
      </c>
      <c r="L20" s="1">
        <v>3</v>
      </c>
      <c r="M20">
        <v>107</v>
      </c>
      <c r="N20" s="2">
        <v>0.4909722222222222</v>
      </c>
      <c r="O20" s="1"/>
      <c r="P20" s="1">
        <v>2</v>
      </c>
      <c r="Q20" s="1">
        <v>2</v>
      </c>
    </row>
    <row r="21" spans="1:27" x14ac:dyDescent="0.25">
      <c r="A21" s="3">
        <v>2020</v>
      </c>
      <c r="B21" s="3">
        <v>10</v>
      </c>
      <c r="C21" s="3">
        <v>20</v>
      </c>
      <c r="D21" s="3" t="s">
        <v>27</v>
      </c>
      <c r="E21" s="3" t="s">
        <v>27</v>
      </c>
      <c r="F21" s="3" t="s">
        <v>27</v>
      </c>
      <c r="G21" s="3" t="s">
        <v>27</v>
      </c>
      <c r="H21" t="s">
        <v>14</v>
      </c>
      <c r="I21">
        <v>200</v>
      </c>
      <c r="J21" t="s">
        <v>86</v>
      </c>
      <c r="K21" s="1">
        <v>5</v>
      </c>
      <c r="L21" s="1">
        <v>2</v>
      </c>
      <c r="M21">
        <v>108</v>
      </c>
      <c r="N21" s="2">
        <v>0.47847222222222224</v>
      </c>
      <c r="O21" s="1"/>
      <c r="P21" s="1"/>
    </row>
    <row r="22" spans="1:27" x14ac:dyDescent="0.25">
      <c r="A22" s="3">
        <v>2020</v>
      </c>
      <c r="B22" s="3">
        <v>10</v>
      </c>
      <c r="C22" s="3">
        <v>20</v>
      </c>
      <c r="D22" s="3" t="s">
        <v>30</v>
      </c>
      <c r="E22" s="3" t="s">
        <v>30</v>
      </c>
      <c r="F22" s="3" t="s">
        <v>30</v>
      </c>
      <c r="G22" s="3" t="s">
        <v>30</v>
      </c>
      <c r="H22" t="s">
        <v>14</v>
      </c>
      <c r="I22">
        <v>200</v>
      </c>
      <c r="J22" t="s">
        <v>87</v>
      </c>
      <c r="K22" s="1">
        <v>5</v>
      </c>
      <c r="L22" s="1">
        <v>3</v>
      </c>
      <c r="M22">
        <v>106</v>
      </c>
      <c r="N22" s="2">
        <v>0.4826388888888889</v>
      </c>
      <c r="O22" s="1"/>
      <c r="P22" s="1"/>
      <c r="AA22" t="s">
        <v>53</v>
      </c>
    </row>
    <row r="23" spans="1:27" x14ac:dyDescent="0.25">
      <c r="A23" s="3">
        <v>2020</v>
      </c>
      <c r="B23" s="3">
        <v>10</v>
      </c>
      <c r="C23" s="3">
        <v>20</v>
      </c>
      <c r="D23" s="3" t="s">
        <v>34</v>
      </c>
      <c r="E23" s="3" t="s">
        <v>34</v>
      </c>
      <c r="F23" s="3" t="s">
        <v>34</v>
      </c>
      <c r="G23" s="3" t="s">
        <v>34</v>
      </c>
      <c r="H23" t="s">
        <v>14</v>
      </c>
      <c r="I23">
        <v>200</v>
      </c>
      <c r="J23" t="s">
        <v>87</v>
      </c>
      <c r="K23" s="1">
        <v>2</v>
      </c>
      <c r="L23" s="1">
        <v>3</v>
      </c>
      <c r="M23">
        <v>107</v>
      </c>
      <c r="N23" s="2">
        <v>0.49305555555555558</v>
      </c>
      <c r="P23" s="1">
        <v>4</v>
      </c>
      <c r="Q23" s="1">
        <v>2</v>
      </c>
      <c r="R23" s="1"/>
    </row>
    <row r="24" spans="1:27" x14ac:dyDescent="0.25">
      <c r="A24" s="3">
        <v>2020</v>
      </c>
      <c r="B24" s="3">
        <v>10</v>
      </c>
      <c r="C24" s="3">
        <v>20</v>
      </c>
      <c r="D24" s="3" t="s">
        <v>30</v>
      </c>
      <c r="E24" s="3" t="s">
        <v>30</v>
      </c>
      <c r="F24" s="3" t="s">
        <v>30</v>
      </c>
      <c r="G24" s="3" t="s">
        <v>30</v>
      </c>
      <c r="H24" t="s">
        <v>14</v>
      </c>
      <c r="I24">
        <v>250</v>
      </c>
      <c r="J24" t="s">
        <v>78</v>
      </c>
      <c r="K24" s="1">
        <v>4</v>
      </c>
      <c r="L24" s="1">
        <v>1</v>
      </c>
      <c r="M24">
        <v>114</v>
      </c>
      <c r="N24" s="2">
        <v>0.47916666666666669</v>
      </c>
      <c r="O24" s="1"/>
      <c r="P24" s="1"/>
    </row>
    <row r="25" spans="1:27" x14ac:dyDescent="0.25">
      <c r="A25" s="3">
        <v>2020</v>
      </c>
      <c r="B25" s="3">
        <v>10</v>
      </c>
      <c r="C25" s="3">
        <v>20</v>
      </c>
      <c r="D25" s="3" t="s">
        <v>27</v>
      </c>
      <c r="E25" s="3" t="s">
        <v>27</v>
      </c>
      <c r="F25" s="3" t="s">
        <v>27</v>
      </c>
      <c r="G25" s="3" t="s">
        <v>27</v>
      </c>
      <c r="H25" t="s">
        <v>14</v>
      </c>
      <c r="I25">
        <v>250</v>
      </c>
      <c r="J25" t="s">
        <v>78</v>
      </c>
      <c r="K25" s="1">
        <v>4</v>
      </c>
      <c r="L25" s="1">
        <v>2</v>
      </c>
      <c r="M25">
        <v>118</v>
      </c>
      <c r="N25" s="2">
        <v>0.48541666666666666</v>
      </c>
      <c r="O25" s="1"/>
      <c r="P25" s="1"/>
    </row>
    <row r="26" spans="1:27" x14ac:dyDescent="0.25">
      <c r="A26" s="3">
        <v>2020</v>
      </c>
      <c r="B26" s="3">
        <v>10</v>
      </c>
      <c r="C26" s="3">
        <v>20</v>
      </c>
      <c r="D26" s="3" t="s">
        <v>30</v>
      </c>
      <c r="E26" s="3" t="s">
        <v>30</v>
      </c>
      <c r="F26" s="3" t="s">
        <v>30</v>
      </c>
      <c r="G26" s="3" t="s">
        <v>30</v>
      </c>
      <c r="H26" t="s">
        <v>14</v>
      </c>
      <c r="I26">
        <v>250</v>
      </c>
      <c r="J26" t="s">
        <v>86</v>
      </c>
      <c r="K26" s="1">
        <v>1</v>
      </c>
      <c r="L26" s="1">
        <v>4</v>
      </c>
      <c r="M26">
        <v>114</v>
      </c>
      <c r="N26" s="2">
        <v>0.47986111111111113</v>
      </c>
      <c r="O26" s="1"/>
      <c r="P26" s="1"/>
    </row>
    <row r="27" spans="1:27" x14ac:dyDescent="0.25">
      <c r="A27" s="3">
        <v>2021</v>
      </c>
      <c r="B27" s="3">
        <v>10</v>
      </c>
      <c r="C27" s="3">
        <v>21</v>
      </c>
      <c r="D27" s="3" t="s">
        <v>56</v>
      </c>
      <c r="E27" s="3" t="s">
        <v>56</v>
      </c>
      <c r="F27" s="3" t="s">
        <v>56</v>
      </c>
      <c r="G27" s="3" t="s">
        <v>56</v>
      </c>
      <c r="H27" t="s">
        <v>14</v>
      </c>
      <c r="I27">
        <v>0</v>
      </c>
      <c r="J27" t="s">
        <v>86</v>
      </c>
      <c r="K27" s="1">
        <v>2</v>
      </c>
      <c r="L27" s="1">
        <v>2</v>
      </c>
      <c r="M27">
        <v>61</v>
      </c>
      <c r="N27" s="2">
        <v>0.48125000000000001</v>
      </c>
      <c r="P27" s="1">
        <v>2</v>
      </c>
      <c r="Q27" s="1">
        <v>2</v>
      </c>
      <c r="R27">
        <v>15</v>
      </c>
      <c r="S27">
        <v>11</v>
      </c>
      <c r="T27">
        <v>12</v>
      </c>
      <c r="U27">
        <v>10</v>
      </c>
      <c r="V27">
        <v>18</v>
      </c>
      <c r="W27">
        <v>5</v>
      </c>
      <c r="X27">
        <v>8</v>
      </c>
      <c r="Y27">
        <v>5</v>
      </c>
      <c r="Z27">
        <v>25</v>
      </c>
    </row>
    <row r="28" spans="1:27" x14ac:dyDescent="0.25">
      <c r="A28" s="3">
        <v>2021</v>
      </c>
      <c r="B28" s="3">
        <v>10</v>
      </c>
      <c r="C28" s="3">
        <v>21</v>
      </c>
      <c r="D28" s="3" t="s">
        <v>59</v>
      </c>
      <c r="E28" s="3" t="s">
        <v>59</v>
      </c>
      <c r="F28" s="3" t="s">
        <v>59</v>
      </c>
      <c r="G28" s="3" t="s">
        <v>59</v>
      </c>
      <c r="H28" t="s">
        <v>14</v>
      </c>
      <c r="I28">
        <v>0</v>
      </c>
      <c r="J28" t="s">
        <v>86</v>
      </c>
      <c r="K28" s="1">
        <v>0.1</v>
      </c>
      <c r="L28" s="1">
        <v>3</v>
      </c>
      <c r="M28">
        <v>67</v>
      </c>
      <c r="N28" s="2">
        <v>0.49236111111111114</v>
      </c>
      <c r="P28" s="1">
        <v>2</v>
      </c>
      <c r="Q28" s="1">
        <v>3</v>
      </c>
      <c r="R28">
        <v>15</v>
      </c>
      <c r="S28">
        <v>10</v>
      </c>
      <c r="T28">
        <v>8</v>
      </c>
      <c r="U28">
        <v>8</v>
      </c>
      <c r="V28">
        <v>10</v>
      </c>
      <c r="W28">
        <v>2</v>
      </c>
      <c r="X28">
        <v>2</v>
      </c>
      <c r="Y28">
        <v>3</v>
      </c>
      <c r="Z28">
        <v>25</v>
      </c>
      <c r="AA28" t="s">
        <v>61</v>
      </c>
    </row>
    <row r="29" spans="1:27" x14ac:dyDescent="0.25">
      <c r="A29" s="3">
        <v>2021</v>
      </c>
      <c r="B29" s="3">
        <v>10</v>
      </c>
      <c r="C29" s="3">
        <v>21</v>
      </c>
      <c r="D29" s="3" t="s">
        <v>55</v>
      </c>
      <c r="E29" s="3" t="s">
        <v>55</v>
      </c>
      <c r="F29" s="3" t="s">
        <v>55</v>
      </c>
      <c r="G29" s="3" t="s">
        <v>55</v>
      </c>
      <c r="H29" t="s">
        <v>14</v>
      </c>
      <c r="I29">
        <v>0</v>
      </c>
      <c r="J29" t="s">
        <v>86</v>
      </c>
      <c r="K29" s="1">
        <v>1</v>
      </c>
      <c r="L29" s="1">
        <v>2</v>
      </c>
      <c r="M29">
        <v>59</v>
      </c>
      <c r="N29" s="2">
        <v>0.47083333333333333</v>
      </c>
      <c r="P29" s="1">
        <v>3</v>
      </c>
      <c r="Q29" s="1">
        <v>1</v>
      </c>
      <c r="R29">
        <v>9</v>
      </c>
      <c r="S29">
        <v>19</v>
      </c>
      <c r="T29">
        <v>11</v>
      </c>
      <c r="U29">
        <v>15</v>
      </c>
      <c r="V29">
        <v>10</v>
      </c>
      <c r="W29">
        <v>7</v>
      </c>
      <c r="X29">
        <v>4</v>
      </c>
      <c r="Y29">
        <v>1</v>
      </c>
      <c r="Z29">
        <v>25</v>
      </c>
    </row>
    <row r="30" spans="1:27" x14ac:dyDescent="0.25">
      <c r="A30" s="3">
        <v>2021</v>
      </c>
      <c r="B30" s="3">
        <v>10</v>
      </c>
      <c r="C30" s="3">
        <v>21</v>
      </c>
      <c r="D30" s="3" t="s">
        <v>56</v>
      </c>
      <c r="E30" s="3" t="s">
        <v>56</v>
      </c>
      <c r="F30" s="3" t="s">
        <v>56</v>
      </c>
      <c r="G30" s="3" t="s">
        <v>56</v>
      </c>
      <c r="H30" t="s">
        <v>14</v>
      </c>
      <c r="I30">
        <v>50</v>
      </c>
      <c r="J30" t="s">
        <v>78</v>
      </c>
      <c r="K30" s="1">
        <v>3</v>
      </c>
      <c r="L30" s="1">
        <v>2</v>
      </c>
      <c r="M30">
        <v>75</v>
      </c>
      <c r="N30" s="2">
        <v>0.47430555555555554</v>
      </c>
      <c r="P30" s="1">
        <v>4</v>
      </c>
      <c r="Q30" s="1">
        <v>3</v>
      </c>
    </row>
    <row r="31" spans="1:27" x14ac:dyDescent="0.25">
      <c r="A31" s="3">
        <v>2021</v>
      </c>
      <c r="B31" s="3">
        <v>10</v>
      </c>
      <c r="C31" s="3">
        <v>21</v>
      </c>
      <c r="D31" s="3" t="s">
        <v>56</v>
      </c>
      <c r="E31" s="3" t="s">
        <v>56</v>
      </c>
      <c r="F31" s="3" t="s">
        <v>56</v>
      </c>
      <c r="G31" s="3" t="s">
        <v>56</v>
      </c>
      <c r="H31" t="s">
        <v>14</v>
      </c>
      <c r="I31">
        <v>50</v>
      </c>
      <c r="J31" t="s">
        <v>86</v>
      </c>
      <c r="K31" s="1">
        <v>2</v>
      </c>
      <c r="L31" s="1">
        <v>2</v>
      </c>
      <c r="M31">
        <v>75</v>
      </c>
      <c r="N31" s="2">
        <v>0.47430555555555554</v>
      </c>
      <c r="P31" s="1">
        <v>4</v>
      </c>
      <c r="Q31" s="1">
        <v>3</v>
      </c>
    </row>
    <row r="32" spans="1:27" x14ac:dyDescent="0.25">
      <c r="A32" s="3">
        <v>2021</v>
      </c>
      <c r="B32" s="3">
        <v>10</v>
      </c>
      <c r="C32" s="3">
        <v>21</v>
      </c>
      <c r="D32" s="3" t="s">
        <v>55</v>
      </c>
      <c r="E32" s="3" t="s">
        <v>55</v>
      </c>
      <c r="F32" s="3" t="s">
        <v>55</v>
      </c>
      <c r="G32" s="3" t="s">
        <v>55</v>
      </c>
      <c r="H32" t="s">
        <v>14</v>
      </c>
      <c r="I32">
        <v>50</v>
      </c>
      <c r="J32" t="s">
        <v>86</v>
      </c>
      <c r="K32" s="1">
        <v>2</v>
      </c>
      <c r="L32" s="1">
        <v>3</v>
      </c>
      <c r="M32">
        <v>80</v>
      </c>
      <c r="N32" s="2">
        <v>0.48472222222222222</v>
      </c>
      <c r="P32" s="1">
        <v>3</v>
      </c>
      <c r="Q32" s="1">
        <v>1</v>
      </c>
    </row>
    <row r="33" spans="1:27" x14ac:dyDescent="0.25">
      <c r="A33" s="3">
        <v>2021</v>
      </c>
      <c r="B33" s="3">
        <v>10</v>
      </c>
      <c r="C33" s="3">
        <v>21</v>
      </c>
      <c r="D33" s="3" t="s">
        <v>56</v>
      </c>
      <c r="E33" s="3" t="s">
        <v>56</v>
      </c>
      <c r="F33" s="3" t="s">
        <v>56</v>
      </c>
      <c r="G33" s="3" t="s">
        <v>56</v>
      </c>
      <c r="H33" t="s">
        <v>14</v>
      </c>
      <c r="I33">
        <v>100</v>
      </c>
      <c r="J33" t="s">
        <v>78</v>
      </c>
      <c r="K33" s="1">
        <v>1</v>
      </c>
      <c r="L33" s="1">
        <v>2</v>
      </c>
      <c r="M33">
        <v>60</v>
      </c>
      <c r="N33" s="2">
        <v>0.49236111111111114</v>
      </c>
      <c r="P33" s="1">
        <v>2</v>
      </c>
      <c r="Q33" s="1">
        <v>2</v>
      </c>
      <c r="R33">
        <v>12</v>
      </c>
      <c r="S33">
        <v>5</v>
      </c>
      <c r="T33">
        <v>13</v>
      </c>
      <c r="U33">
        <v>14</v>
      </c>
      <c r="V33">
        <v>20</v>
      </c>
      <c r="W33">
        <v>30</v>
      </c>
      <c r="X33">
        <v>22</v>
      </c>
      <c r="Y33">
        <v>23</v>
      </c>
      <c r="Z33">
        <v>25</v>
      </c>
    </row>
    <row r="34" spans="1:27" x14ac:dyDescent="0.25">
      <c r="A34" s="3">
        <v>2021</v>
      </c>
      <c r="B34" s="3">
        <v>10</v>
      </c>
      <c r="C34" s="3">
        <v>21</v>
      </c>
      <c r="D34" s="3" t="s">
        <v>56</v>
      </c>
      <c r="E34" s="3" t="s">
        <v>56</v>
      </c>
      <c r="F34" s="3" t="s">
        <v>56</v>
      </c>
      <c r="G34" s="3" t="s">
        <v>56</v>
      </c>
      <c r="H34" t="s">
        <v>14</v>
      </c>
      <c r="I34">
        <v>100</v>
      </c>
      <c r="J34" t="s">
        <v>86</v>
      </c>
      <c r="K34" s="1">
        <v>2</v>
      </c>
      <c r="L34" s="1">
        <v>1</v>
      </c>
      <c r="M34">
        <v>60</v>
      </c>
      <c r="N34" s="2">
        <v>0.49236111111111114</v>
      </c>
      <c r="P34" s="1">
        <v>2</v>
      </c>
      <c r="Q34" s="1">
        <v>2</v>
      </c>
    </row>
    <row r="35" spans="1:27" x14ac:dyDescent="0.25">
      <c r="A35" s="3">
        <v>2021</v>
      </c>
      <c r="B35" s="3">
        <v>10</v>
      </c>
      <c r="C35" s="3">
        <v>21</v>
      </c>
      <c r="D35" s="3" t="s">
        <v>57</v>
      </c>
      <c r="E35" s="3" t="s">
        <v>57</v>
      </c>
      <c r="F35" s="3" t="s">
        <v>57</v>
      </c>
      <c r="G35" s="3" t="s">
        <v>57</v>
      </c>
      <c r="H35" t="s">
        <v>14</v>
      </c>
      <c r="I35">
        <v>100</v>
      </c>
      <c r="J35" t="s">
        <v>86</v>
      </c>
      <c r="K35" s="1">
        <v>1</v>
      </c>
      <c r="L35" s="1">
        <v>2</v>
      </c>
      <c r="M35">
        <v>56</v>
      </c>
      <c r="N35" s="2">
        <v>0.4777777777777778</v>
      </c>
      <c r="P35" s="1">
        <v>2</v>
      </c>
      <c r="Q35" s="1">
        <v>2</v>
      </c>
      <c r="R35">
        <v>12</v>
      </c>
      <c r="S35">
        <v>15</v>
      </c>
      <c r="T35">
        <v>14</v>
      </c>
      <c r="U35">
        <v>17</v>
      </c>
      <c r="V35">
        <v>19</v>
      </c>
      <c r="W35">
        <v>4</v>
      </c>
      <c r="X35">
        <v>6</v>
      </c>
      <c r="Y35">
        <v>1</v>
      </c>
      <c r="Z35">
        <v>10</v>
      </c>
    </row>
    <row r="36" spans="1:27" x14ac:dyDescent="0.25">
      <c r="A36" s="3">
        <v>2021</v>
      </c>
      <c r="B36" s="3">
        <v>10</v>
      </c>
      <c r="C36" s="3">
        <v>21</v>
      </c>
      <c r="D36" s="3" t="s">
        <v>59</v>
      </c>
      <c r="E36" s="3" t="s">
        <v>59</v>
      </c>
      <c r="F36" s="3" t="s">
        <v>59</v>
      </c>
      <c r="G36" s="3" t="s">
        <v>59</v>
      </c>
      <c r="H36" t="s">
        <v>14</v>
      </c>
      <c r="I36">
        <v>150</v>
      </c>
      <c r="J36" t="s">
        <v>86</v>
      </c>
      <c r="K36" s="1">
        <v>0.1</v>
      </c>
      <c r="L36" s="1">
        <v>3</v>
      </c>
      <c r="M36">
        <v>54</v>
      </c>
      <c r="N36" s="2">
        <v>0.48819444444444443</v>
      </c>
      <c r="P36" s="1">
        <v>2</v>
      </c>
      <c r="Q36" s="1">
        <v>3</v>
      </c>
    </row>
    <row r="37" spans="1:27" x14ac:dyDescent="0.25">
      <c r="A37" s="3">
        <v>2021</v>
      </c>
      <c r="B37" s="3">
        <v>10</v>
      </c>
      <c r="C37" s="3">
        <v>21</v>
      </c>
      <c r="D37" s="3" t="s">
        <v>55</v>
      </c>
      <c r="E37" s="3" t="s">
        <v>55</v>
      </c>
      <c r="F37" s="3" t="s">
        <v>55</v>
      </c>
      <c r="G37" s="3" t="s">
        <v>55</v>
      </c>
      <c r="H37" t="s">
        <v>14</v>
      </c>
      <c r="I37">
        <v>150</v>
      </c>
      <c r="J37" t="s">
        <v>86</v>
      </c>
      <c r="K37" s="1">
        <v>1</v>
      </c>
      <c r="L37" s="1">
        <v>2</v>
      </c>
      <c r="M37">
        <v>52</v>
      </c>
      <c r="N37" s="2">
        <v>0.4777777777777778</v>
      </c>
      <c r="P37" s="1">
        <v>2</v>
      </c>
      <c r="Q37" s="1">
        <v>1</v>
      </c>
      <c r="R37" s="1">
        <v>44</v>
      </c>
      <c r="S37" s="1">
        <v>43</v>
      </c>
      <c r="T37" s="1">
        <v>42</v>
      </c>
      <c r="U37" s="1">
        <v>37</v>
      </c>
      <c r="V37" s="1">
        <v>35</v>
      </c>
      <c r="W37" s="1">
        <v>16</v>
      </c>
      <c r="X37" s="1">
        <v>11</v>
      </c>
      <c r="Y37" s="1">
        <v>14</v>
      </c>
      <c r="Z37" s="1">
        <v>25</v>
      </c>
    </row>
    <row r="38" spans="1:27" x14ac:dyDescent="0.25">
      <c r="A38" s="3">
        <v>2021</v>
      </c>
      <c r="B38" s="3">
        <v>10</v>
      </c>
      <c r="C38" s="3">
        <v>21</v>
      </c>
      <c r="D38" s="3" t="s">
        <v>57</v>
      </c>
      <c r="E38" s="3" t="s">
        <v>57</v>
      </c>
      <c r="F38" s="3" t="s">
        <v>57</v>
      </c>
      <c r="G38" s="3" t="s">
        <v>57</v>
      </c>
      <c r="H38" t="s">
        <v>14</v>
      </c>
      <c r="I38">
        <v>150</v>
      </c>
      <c r="J38" t="s">
        <v>86</v>
      </c>
      <c r="K38" s="1">
        <v>1</v>
      </c>
      <c r="L38" s="1">
        <v>2</v>
      </c>
      <c r="M38">
        <v>99</v>
      </c>
      <c r="N38" s="2">
        <v>0.47291666666666665</v>
      </c>
      <c r="P38" s="1">
        <v>2</v>
      </c>
      <c r="Q38" s="1">
        <v>2</v>
      </c>
    </row>
    <row r="39" spans="1:27" x14ac:dyDescent="0.25">
      <c r="A39" s="3">
        <v>2021</v>
      </c>
      <c r="B39" s="3">
        <v>10</v>
      </c>
      <c r="C39" s="3">
        <v>21</v>
      </c>
      <c r="D39" s="3" t="s">
        <v>59</v>
      </c>
      <c r="E39" s="3" t="s">
        <v>59</v>
      </c>
      <c r="F39" s="3" t="s">
        <v>59</v>
      </c>
      <c r="G39" s="3" t="s">
        <v>59</v>
      </c>
      <c r="H39" t="s">
        <v>14</v>
      </c>
      <c r="I39">
        <v>200</v>
      </c>
      <c r="J39" t="s">
        <v>78</v>
      </c>
      <c r="K39" s="1">
        <v>5</v>
      </c>
      <c r="L39" s="1">
        <v>2</v>
      </c>
      <c r="M39">
        <v>78</v>
      </c>
      <c r="N39" s="2">
        <v>0.47569444444444442</v>
      </c>
      <c r="P39" s="1">
        <v>3</v>
      </c>
      <c r="Q39" s="1">
        <v>3</v>
      </c>
      <c r="R39">
        <v>27</v>
      </c>
      <c r="S39">
        <v>31</v>
      </c>
      <c r="T39">
        <v>25</v>
      </c>
      <c r="U39">
        <v>34</v>
      </c>
      <c r="V39">
        <v>28</v>
      </c>
      <c r="W39">
        <v>2</v>
      </c>
      <c r="X39">
        <v>2</v>
      </c>
      <c r="Y39">
        <v>3</v>
      </c>
      <c r="Z39">
        <v>10</v>
      </c>
      <c r="AA39" t="s">
        <v>60</v>
      </c>
    </row>
    <row r="40" spans="1:27" x14ac:dyDescent="0.25">
      <c r="A40" s="3">
        <v>2021</v>
      </c>
      <c r="B40" s="3">
        <v>10</v>
      </c>
      <c r="C40" s="3">
        <v>21</v>
      </c>
      <c r="D40" s="3" t="s">
        <v>55</v>
      </c>
      <c r="E40" s="3" t="s">
        <v>55</v>
      </c>
      <c r="F40" s="3" t="s">
        <v>55</v>
      </c>
      <c r="G40" s="3" t="s">
        <v>55</v>
      </c>
      <c r="H40" t="s">
        <v>14</v>
      </c>
      <c r="I40">
        <v>200</v>
      </c>
      <c r="J40" t="s">
        <v>78</v>
      </c>
      <c r="K40" s="1">
        <v>5</v>
      </c>
      <c r="L40" s="1">
        <v>3</v>
      </c>
      <c r="M40">
        <v>81</v>
      </c>
      <c r="N40" s="2">
        <v>0.48749999999999999</v>
      </c>
      <c r="P40" s="1">
        <v>3</v>
      </c>
      <c r="Q40" s="1">
        <v>1</v>
      </c>
    </row>
    <row r="41" spans="1:27" x14ac:dyDescent="0.25">
      <c r="A41" s="3">
        <v>2021</v>
      </c>
      <c r="B41" s="3">
        <v>10</v>
      </c>
      <c r="C41" s="3">
        <v>21</v>
      </c>
      <c r="D41" s="3" t="s">
        <v>59</v>
      </c>
      <c r="E41" s="3" t="s">
        <v>59</v>
      </c>
      <c r="F41" s="3" t="s">
        <v>59</v>
      </c>
      <c r="G41" s="3" t="s">
        <v>59</v>
      </c>
      <c r="H41" t="s">
        <v>14</v>
      </c>
      <c r="I41">
        <v>200</v>
      </c>
      <c r="J41" t="s">
        <v>86</v>
      </c>
      <c r="K41" s="1">
        <v>2</v>
      </c>
      <c r="L41" s="1">
        <v>3</v>
      </c>
      <c r="M41">
        <v>78</v>
      </c>
      <c r="N41" s="2">
        <v>0.48194444444444445</v>
      </c>
      <c r="P41" s="1">
        <v>3</v>
      </c>
      <c r="Q41" s="1">
        <v>3</v>
      </c>
      <c r="R41">
        <v>30</v>
      </c>
      <c r="S41">
        <v>28</v>
      </c>
      <c r="T41">
        <v>33</v>
      </c>
      <c r="U41">
        <v>24</v>
      </c>
      <c r="V41">
        <v>18</v>
      </c>
      <c r="W41">
        <v>2</v>
      </c>
      <c r="X41">
        <v>3</v>
      </c>
      <c r="Y41">
        <v>2</v>
      </c>
      <c r="Z41">
        <v>10</v>
      </c>
    </row>
    <row r="42" spans="1:27" x14ac:dyDescent="0.25">
      <c r="A42" s="3">
        <v>2021</v>
      </c>
      <c r="B42" s="3">
        <v>10</v>
      </c>
      <c r="C42" s="3">
        <v>21</v>
      </c>
      <c r="D42" s="3" t="s">
        <v>59</v>
      </c>
      <c r="E42" s="3" t="s">
        <v>59</v>
      </c>
      <c r="F42" s="3" t="s">
        <v>59</v>
      </c>
      <c r="G42" s="3" t="s">
        <v>59</v>
      </c>
      <c r="H42" t="s">
        <v>14</v>
      </c>
      <c r="I42">
        <v>250</v>
      </c>
      <c r="J42" t="s">
        <v>78</v>
      </c>
      <c r="K42" s="1">
        <v>2</v>
      </c>
      <c r="L42" s="1">
        <v>2</v>
      </c>
      <c r="M42">
        <v>63</v>
      </c>
      <c r="N42" s="2">
        <v>0.47222222222222221</v>
      </c>
      <c r="P42" s="1">
        <v>3</v>
      </c>
      <c r="Q42" s="1">
        <v>2</v>
      </c>
    </row>
    <row r="43" spans="1:27" x14ac:dyDescent="0.25">
      <c r="A43" s="3">
        <v>2021</v>
      </c>
      <c r="B43" s="3">
        <v>10</v>
      </c>
      <c r="C43" s="3">
        <v>21</v>
      </c>
      <c r="D43" s="3" t="s">
        <v>57</v>
      </c>
      <c r="E43" s="3" t="s">
        <v>57</v>
      </c>
      <c r="F43" s="3" t="s">
        <v>57</v>
      </c>
      <c r="G43" s="3" t="s">
        <v>57</v>
      </c>
      <c r="H43" t="s">
        <v>14</v>
      </c>
      <c r="I43">
        <v>250</v>
      </c>
      <c r="J43" t="s">
        <v>78</v>
      </c>
      <c r="K43" s="1">
        <v>2</v>
      </c>
      <c r="L43" s="1">
        <v>3</v>
      </c>
      <c r="M43">
        <v>67</v>
      </c>
      <c r="N43" s="2">
        <v>0.49027777777777776</v>
      </c>
      <c r="P43" s="1">
        <v>3</v>
      </c>
      <c r="Q43" s="1">
        <v>2</v>
      </c>
    </row>
    <row r="44" spans="1:27" x14ac:dyDescent="0.25">
      <c r="A44" s="3">
        <v>2021</v>
      </c>
      <c r="B44" s="3">
        <v>10</v>
      </c>
      <c r="C44" s="3">
        <v>21</v>
      </c>
      <c r="D44" s="3" t="s">
        <v>55</v>
      </c>
      <c r="E44" s="3" t="s">
        <v>55</v>
      </c>
      <c r="F44" s="3" t="s">
        <v>55</v>
      </c>
      <c r="G44" s="3" t="s">
        <v>55</v>
      </c>
      <c r="H44" t="s">
        <v>14</v>
      </c>
      <c r="I44">
        <v>250</v>
      </c>
      <c r="J44" t="s">
        <v>86</v>
      </c>
      <c r="K44" s="1">
        <v>3</v>
      </c>
      <c r="L44" s="1">
        <v>3</v>
      </c>
      <c r="M44" s="1">
        <v>65</v>
      </c>
      <c r="N44" s="4">
        <v>0.48125000000000001</v>
      </c>
      <c r="P44" s="1">
        <v>2</v>
      </c>
      <c r="Q44" s="1">
        <v>1</v>
      </c>
    </row>
    <row r="45" spans="1:27" x14ac:dyDescent="0.25">
      <c r="A45" s="3">
        <v>2021</v>
      </c>
      <c r="B45" s="3">
        <v>10</v>
      </c>
      <c r="C45" s="3">
        <v>21</v>
      </c>
      <c r="D45" s="3" t="s">
        <v>57</v>
      </c>
      <c r="E45" s="3" t="s">
        <v>57</v>
      </c>
      <c r="F45" s="3" t="s">
        <v>57</v>
      </c>
      <c r="G45" s="3" t="s">
        <v>57</v>
      </c>
      <c r="H45" t="s">
        <v>14</v>
      </c>
      <c r="I45">
        <v>250</v>
      </c>
      <c r="J45" t="s">
        <v>86</v>
      </c>
      <c r="K45" s="1">
        <v>2</v>
      </c>
      <c r="L45" s="1">
        <v>2</v>
      </c>
      <c r="M45">
        <v>67</v>
      </c>
      <c r="N45" s="2">
        <v>0.49027777777777776</v>
      </c>
      <c r="P45" s="1">
        <v>4</v>
      </c>
      <c r="Q45" s="1">
        <v>2</v>
      </c>
    </row>
    <row r="46" spans="1:27" x14ac:dyDescent="0.25">
      <c r="A46" s="3">
        <v>2022</v>
      </c>
      <c r="B46" s="3">
        <v>10</v>
      </c>
      <c r="C46" s="3">
        <v>22</v>
      </c>
      <c r="D46" s="3" t="s">
        <v>62</v>
      </c>
      <c r="E46" s="3" t="s">
        <v>62</v>
      </c>
      <c r="F46" s="3" t="s">
        <v>62</v>
      </c>
      <c r="G46" s="3" t="s">
        <v>62</v>
      </c>
      <c r="H46" t="s">
        <v>14</v>
      </c>
      <c r="I46">
        <v>0</v>
      </c>
      <c r="J46" t="s">
        <v>86</v>
      </c>
      <c r="K46" s="1">
        <v>2</v>
      </c>
      <c r="L46" s="1">
        <v>2</v>
      </c>
      <c r="M46">
        <v>42</v>
      </c>
      <c r="N46" s="2">
        <v>0.47361111111111109</v>
      </c>
      <c r="P46" s="1">
        <v>1</v>
      </c>
      <c r="Q46" s="1">
        <v>1</v>
      </c>
      <c r="R46">
        <v>11</v>
      </c>
      <c r="S46">
        <v>12</v>
      </c>
      <c r="T46">
        <v>12</v>
      </c>
      <c r="U46">
        <v>10</v>
      </c>
      <c r="V46">
        <v>6</v>
      </c>
      <c r="W46">
        <v>13</v>
      </c>
      <c r="X46">
        <v>9</v>
      </c>
      <c r="Y46">
        <v>11</v>
      </c>
      <c r="Z46">
        <v>25</v>
      </c>
    </row>
    <row r="47" spans="1:27" x14ac:dyDescent="0.25">
      <c r="A47" s="3">
        <v>2022</v>
      </c>
      <c r="B47" s="3">
        <v>10</v>
      </c>
      <c r="C47" s="3">
        <v>22</v>
      </c>
      <c r="D47" s="3" t="s">
        <v>63</v>
      </c>
      <c r="E47" s="3" t="s">
        <v>63</v>
      </c>
      <c r="F47" s="3" t="s">
        <v>63</v>
      </c>
      <c r="G47" s="3" t="s">
        <v>63</v>
      </c>
      <c r="H47" t="s">
        <v>14</v>
      </c>
      <c r="I47">
        <v>0</v>
      </c>
      <c r="J47" t="s">
        <v>86</v>
      </c>
      <c r="K47" s="1">
        <v>2</v>
      </c>
      <c r="L47" s="1">
        <v>1</v>
      </c>
      <c r="M47">
        <v>45</v>
      </c>
      <c r="N47" s="2">
        <v>0.47361111111111109</v>
      </c>
      <c r="P47" s="1">
        <v>1</v>
      </c>
      <c r="Q47" s="1">
        <v>1</v>
      </c>
      <c r="R47">
        <v>9</v>
      </c>
      <c r="S47">
        <v>14</v>
      </c>
      <c r="T47">
        <v>13</v>
      </c>
      <c r="U47">
        <v>6</v>
      </c>
      <c r="V47">
        <v>10</v>
      </c>
      <c r="W47">
        <v>13</v>
      </c>
      <c r="X47">
        <v>14</v>
      </c>
      <c r="Y47">
        <v>15</v>
      </c>
      <c r="Z47">
        <v>25</v>
      </c>
      <c r="AA47" t="s">
        <v>64</v>
      </c>
    </row>
    <row r="48" spans="1:27" x14ac:dyDescent="0.25">
      <c r="A48" s="3">
        <v>2022</v>
      </c>
      <c r="B48" s="3">
        <v>10</v>
      </c>
      <c r="C48" s="3">
        <v>22</v>
      </c>
      <c r="D48" s="3" t="s">
        <v>62</v>
      </c>
      <c r="E48" s="3" t="s">
        <v>62</v>
      </c>
      <c r="F48" s="3" t="s">
        <v>62</v>
      </c>
      <c r="G48" s="3" t="s">
        <v>62</v>
      </c>
      <c r="H48" t="s">
        <v>14</v>
      </c>
      <c r="I48">
        <v>25</v>
      </c>
      <c r="J48" t="s">
        <v>78</v>
      </c>
      <c r="K48" s="1">
        <v>2</v>
      </c>
      <c r="L48" s="1">
        <v>1</v>
      </c>
      <c r="M48">
        <v>45</v>
      </c>
      <c r="N48" s="2">
        <v>0.4861111111111111</v>
      </c>
      <c r="P48" s="1">
        <v>1</v>
      </c>
      <c r="Q48" s="1">
        <v>1</v>
      </c>
    </row>
    <row r="49" spans="1:27" x14ac:dyDescent="0.25">
      <c r="A49" s="3">
        <v>2022</v>
      </c>
      <c r="B49" s="3">
        <v>10</v>
      </c>
      <c r="C49" s="3">
        <v>22</v>
      </c>
      <c r="D49" s="3" t="s">
        <v>63</v>
      </c>
      <c r="E49" s="3" t="s">
        <v>63</v>
      </c>
      <c r="F49" s="3" t="s">
        <v>63</v>
      </c>
      <c r="G49" s="3" t="s">
        <v>63</v>
      </c>
      <c r="H49" t="s">
        <v>14</v>
      </c>
      <c r="I49">
        <v>25</v>
      </c>
      <c r="J49" t="s">
        <v>86</v>
      </c>
      <c r="K49" s="1">
        <v>3</v>
      </c>
      <c r="L49" s="1">
        <v>2</v>
      </c>
      <c r="M49">
        <v>51</v>
      </c>
      <c r="N49" s="2">
        <v>0.48749999999999999</v>
      </c>
      <c r="P49" s="1">
        <v>2</v>
      </c>
      <c r="Q49" s="1">
        <v>2</v>
      </c>
      <c r="AA49" t="s">
        <v>64</v>
      </c>
    </row>
    <row r="50" spans="1:27" x14ac:dyDescent="0.25">
      <c r="A50" s="3">
        <v>2022</v>
      </c>
      <c r="B50" s="3">
        <v>10</v>
      </c>
      <c r="C50" s="3">
        <v>22</v>
      </c>
      <c r="D50" s="3" t="s">
        <v>62</v>
      </c>
      <c r="E50" s="3" t="s">
        <v>62</v>
      </c>
      <c r="F50" s="3" t="s">
        <v>62</v>
      </c>
      <c r="G50" s="3" t="s">
        <v>62</v>
      </c>
      <c r="H50" t="s">
        <v>14</v>
      </c>
      <c r="I50">
        <v>50</v>
      </c>
      <c r="J50" t="s">
        <v>78</v>
      </c>
      <c r="K50" s="1">
        <v>3</v>
      </c>
      <c r="L50" s="1">
        <v>2</v>
      </c>
      <c r="M50">
        <v>44</v>
      </c>
      <c r="N50" s="2">
        <v>0.49375000000000002</v>
      </c>
      <c r="P50" s="1">
        <v>2</v>
      </c>
      <c r="Q50" s="1">
        <v>1</v>
      </c>
    </row>
    <row r="51" spans="1:27" x14ac:dyDescent="0.25">
      <c r="A51" s="3">
        <v>2022</v>
      </c>
      <c r="B51" s="3">
        <v>10</v>
      </c>
      <c r="C51" s="3">
        <v>22</v>
      </c>
      <c r="D51" s="3" t="s">
        <v>63</v>
      </c>
      <c r="E51" s="3" t="s">
        <v>63</v>
      </c>
      <c r="F51" s="3" t="s">
        <v>63</v>
      </c>
      <c r="G51" s="3" t="s">
        <v>63</v>
      </c>
      <c r="H51" t="s">
        <v>14</v>
      </c>
      <c r="I51">
        <v>50</v>
      </c>
      <c r="J51" t="s">
        <v>78</v>
      </c>
      <c r="K51" s="1">
        <v>3</v>
      </c>
      <c r="L51" s="1">
        <v>3</v>
      </c>
      <c r="M51">
        <v>61</v>
      </c>
      <c r="N51" s="2">
        <v>0.49444444444444446</v>
      </c>
      <c r="P51" s="1">
        <v>2</v>
      </c>
      <c r="Q51" s="1">
        <v>3</v>
      </c>
    </row>
    <row r="52" spans="1:27" x14ac:dyDescent="0.25">
      <c r="A52" s="3">
        <v>2022</v>
      </c>
      <c r="B52" s="3">
        <v>10</v>
      </c>
      <c r="C52" s="3">
        <v>22</v>
      </c>
      <c r="D52" s="3" t="s">
        <v>63</v>
      </c>
      <c r="E52" s="3" t="s">
        <v>63</v>
      </c>
      <c r="F52" s="3" t="s">
        <v>63</v>
      </c>
      <c r="G52" s="3" t="s">
        <v>63</v>
      </c>
      <c r="H52" t="s">
        <v>14</v>
      </c>
      <c r="I52">
        <v>50</v>
      </c>
      <c r="J52" t="s">
        <v>86</v>
      </c>
      <c r="K52" s="1">
        <v>4</v>
      </c>
      <c r="L52" s="1">
        <v>3</v>
      </c>
      <c r="M52">
        <v>61</v>
      </c>
      <c r="N52" s="2">
        <v>0.49444444444444446</v>
      </c>
      <c r="P52" s="1">
        <v>2</v>
      </c>
      <c r="Q52" s="1">
        <v>3</v>
      </c>
    </row>
    <row r="53" spans="1:27" x14ac:dyDescent="0.25">
      <c r="A53" s="3">
        <v>2022</v>
      </c>
      <c r="B53" s="3">
        <v>10</v>
      </c>
      <c r="C53" s="3">
        <v>22</v>
      </c>
      <c r="D53" s="3" t="s">
        <v>63</v>
      </c>
      <c r="E53" s="3" t="s">
        <v>63</v>
      </c>
      <c r="F53" s="3" t="s">
        <v>63</v>
      </c>
      <c r="G53" s="3" t="s">
        <v>63</v>
      </c>
      <c r="H53" t="s">
        <v>14</v>
      </c>
      <c r="I53">
        <v>75</v>
      </c>
      <c r="J53" t="s">
        <v>78</v>
      </c>
      <c r="K53" s="1">
        <v>4</v>
      </c>
      <c r="L53" s="1">
        <v>2</v>
      </c>
      <c r="M53">
        <v>78</v>
      </c>
      <c r="N53" s="2">
        <v>0.49930555555555556</v>
      </c>
      <c r="P53" s="1">
        <v>3</v>
      </c>
      <c r="Q53" s="1">
        <v>3</v>
      </c>
      <c r="AA53" t="s">
        <v>65</v>
      </c>
    </row>
    <row r="54" spans="1:27" x14ac:dyDescent="0.25">
      <c r="A54" s="3">
        <v>2022</v>
      </c>
      <c r="B54" s="3">
        <v>10</v>
      </c>
      <c r="C54" s="3">
        <v>22</v>
      </c>
      <c r="D54" s="3" t="s">
        <v>62</v>
      </c>
      <c r="E54" s="3" t="s">
        <v>62</v>
      </c>
      <c r="F54" s="3" t="s">
        <v>62</v>
      </c>
      <c r="G54" s="3" t="s">
        <v>62</v>
      </c>
      <c r="H54" t="s">
        <v>14</v>
      </c>
      <c r="I54">
        <v>75</v>
      </c>
      <c r="J54" t="s">
        <v>87</v>
      </c>
      <c r="K54" s="1">
        <v>5</v>
      </c>
      <c r="L54" s="1">
        <v>2</v>
      </c>
      <c r="M54">
        <v>71</v>
      </c>
      <c r="N54" s="2">
        <v>0.49930555555555556</v>
      </c>
      <c r="P54" s="1">
        <v>1</v>
      </c>
      <c r="Q54" s="1">
        <v>3</v>
      </c>
    </row>
    <row r="55" spans="1:27" x14ac:dyDescent="0.25">
      <c r="A55" s="3">
        <v>2022</v>
      </c>
      <c r="B55" s="3">
        <v>10</v>
      </c>
      <c r="C55" s="3">
        <v>22</v>
      </c>
      <c r="D55" s="3" t="s">
        <v>63</v>
      </c>
      <c r="E55" s="3" t="s">
        <v>63</v>
      </c>
      <c r="F55" s="3" t="s">
        <v>63</v>
      </c>
      <c r="G55" s="3" t="s">
        <v>63</v>
      </c>
      <c r="H55" t="s">
        <v>14</v>
      </c>
      <c r="I55">
        <v>75</v>
      </c>
      <c r="J55" t="s">
        <v>87</v>
      </c>
      <c r="K55" s="1">
        <v>4</v>
      </c>
      <c r="L55" s="1">
        <v>2</v>
      </c>
      <c r="M55">
        <v>78</v>
      </c>
      <c r="N55" s="2">
        <v>0.49930555555555556</v>
      </c>
      <c r="P55" s="1">
        <v>3</v>
      </c>
      <c r="Q55" s="1">
        <v>3</v>
      </c>
      <c r="AA55" t="s">
        <v>65</v>
      </c>
    </row>
    <row r="56" spans="1:27" x14ac:dyDescent="0.25">
      <c r="A56" s="3">
        <v>2023</v>
      </c>
      <c r="B56" s="3">
        <v>10</v>
      </c>
      <c r="C56" s="3">
        <v>23</v>
      </c>
      <c r="D56" s="3" t="s">
        <v>70</v>
      </c>
      <c r="E56" s="3" t="s">
        <v>70</v>
      </c>
      <c r="F56" s="3" t="s">
        <v>70</v>
      </c>
      <c r="G56" s="3" t="s">
        <v>70</v>
      </c>
      <c r="H56" t="s">
        <v>14</v>
      </c>
      <c r="I56">
        <v>0</v>
      </c>
      <c r="J56" t="s">
        <v>78</v>
      </c>
      <c r="K56" s="1">
        <v>4</v>
      </c>
      <c r="L56" s="1">
        <v>2</v>
      </c>
      <c r="M56">
        <v>47</v>
      </c>
      <c r="N56" s="2">
        <v>0.48055555555555557</v>
      </c>
      <c r="P56" s="1">
        <v>4</v>
      </c>
      <c r="Q56" s="1">
        <v>3</v>
      </c>
      <c r="R56">
        <v>13</v>
      </c>
      <c r="S56">
        <v>27</v>
      </c>
      <c r="T56">
        <v>15</v>
      </c>
      <c r="U56">
        <v>21</v>
      </c>
      <c r="V56">
        <v>17</v>
      </c>
      <c r="W56">
        <v>10</v>
      </c>
      <c r="X56">
        <v>20</v>
      </c>
      <c r="Y56">
        <v>14</v>
      </c>
      <c r="Z56">
        <v>10</v>
      </c>
      <c r="AA56" t="s">
        <v>71</v>
      </c>
    </row>
    <row r="57" spans="1:27" x14ac:dyDescent="0.25">
      <c r="A57" s="3">
        <v>2023</v>
      </c>
      <c r="B57" s="3">
        <v>10</v>
      </c>
      <c r="C57" s="3">
        <v>23</v>
      </c>
      <c r="D57" s="3" t="s">
        <v>69</v>
      </c>
      <c r="E57" s="3" t="s">
        <v>69</v>
      </c>
      <c r="F57" s="3" t="s">
        <v>69</v>
      </c>
      <c r="G57" s="3" t="s">
        <v>69</v>
      </c>
      <c r="H57" t="s">
        <v>14</v>
      </c>
      <c r="I57">
        <v>0</v>
      </c>
      <c r="J57" t="s">
        <v>86</v>
      </c>
      <c r="K57" s="1">
        <v>2</v>
      </c>
      <c r="L57" s="1">
        <v>3</v>
      </c>
      <c r="M57">
        <v>28</v>
      </c>
      <c r="N57" s="2">
        <v>0.46805555555555556</v>
      </c>
      <c r="P57" s="1">
        <v>3</v>
      </c>
      <c r="Q57" s="1">
        <v>1</v>
      </c>
      <c r="R57">
        <v>22</v>
      </c>
      <c r="S57">
        <v>23</v>
      </c>
      <c r="W57">
        <v>7</v>
      </c>
      <c r="X57">
        <v>8</v>
      </c>
      <c r="Y57">
        <v>9</v>
      </c>
      <c r="Z57">
        <v>25</v>
      </c>
    </row>
    <row r="58" spans="1:27" x14ac:dyDescent="0.25">
      <c r="A58" s="3">
        <v>2023</v>
      </c>
      <c r="B58" s="3">
        <v>10</v>
      </c>
      <c r="C58" s="3">
        <v>23</v>
      </c>
      <c r="D58" s="3" t="s">
        <v>68</v>
      </c>
      <c r="E58" s="3" t="s">
        <v>68</v>
      </c>
      <c r="F58" s="3" t="s">
        <v>68</v>
      </c>
      <c r="G58" s="3" t="s">
        <v>68</v>
      </c>
      <c r="H58" t="s">
        <v>14</v>
      </c>
      <c r="I58">
        <v>0</v>
      </c>
      <c r="J58" t="s">
        <v>86</v>
      </c>
      <c r="K58" s="1">
        <v>4</v>
      </c>
      <c r="L58" s="1">
        <v>2</v>
      </c>
      <c r="M58">
        <v>54</v>
      </c>
      <c r="N58" s="2">
        <v>0.48055555555555557</v>
      </c>
      <c r="P58" s="1">
        <v>4</v>
      </c>
      <c r="Q58" s="1">
        <v>1</v>
      </c>
    </row>
    <row r="59" spans="1:27" x14ac:dyDescent="0.25">
      <c r="A59" s="3">
        <v>2023</v>
      </c>
      <c r="B59" s="3">
        <v>10</v>
      </c>
      <c r="C59" s="3">
        <v>23</v>
      </c>
      <c r="D59" s="3" t="s">
        <v>68</v>
      </c>
      <c r="E59" s="3" t="s">
        <v>68</v>
      </c>
      <c r="F59" s="3" t="s">
        <v>68</v>
      </c>
      <c r="G59" s="3" t="s">
        <v>68</v>
      </c>
      <c r="H59" t="s">
        <v>14</v>
      </c>
      <c r="I59">
        <v>50</v>
      </c>
      <c r="J59" t="s">
        <v>86</v>
      </c>
      <c r="K59" s="1">
        <v>4</v>
      </c>
      <c r="L59" s="1">
        <v>2</v>
      </c>
      <c r="M59">
        <v>54</v>
      </c>
      <c r="N59" s="2">
        <v>0.4826388888888889</v>
      </c>
      <c r="P59" s="1">
        <v>4</v>
      </c>
      <c r="Q59" s="1">
        <v>1</v>
      </c>
    </row>
    <row r="60" spans="1:27" x14ac:dyDescent="0.25">
      <c r="A60" s="3">
        <v>2023</v>
      </c>
      <c r="B60" s="3">
        <v>10</v>
      </c>
      <c r="C60" s="3">
        <v>23</v>
      </c>
      <c r="D60" s="3" t="s">
        <v>73</v>
      </c>
      <c r="E60" s="3" t="s">
        <v>73</v>
      </c>
      <c r="F60" s="3" t="s">
        <v>73</v>
      </c>
      <c r="G60" s="3" t="s">
        <v>73</v>
      </c>
      <c r="H60" t="s">
        <v>14</v>
      </c>
      <c r="I60">
        <v>50</v>
      </c>
      <c r="J60" t="s">
        <v>86</v>
      </c>
      <c r="K60" s="1">
        <v>3</v>
      </c>
      <c r="L60" s="1">
        <v>3</v>
      </c>
      <c r="M60">
        <v>41</v>
      </c>
      <c r="N60" s="2">
        <v>0.49027777777777776</v>
      </c>
      <c r="P60" s="1">
        <v>3</v>
      </c>
      <c r="Q60" s="1">
        <v>3</v>
      </c>
      <c r="R60">
        <v>30</v>
      </c>
      <c r="S60">
        <v>32</v>
      </c>
      <c r="T60">
        <v>30</v>
      </c>
      <c r="U60">
        <v>29</v>
      </c>
      <c r="V60">
        <v>25</v>
      </c>
      <c r="W60">
        <v>4</v>
      </c>
      <c r="X60">
        <v>3</v>
      </c>
      <c r="Y60">
        <v>8</v>
      </c>
      <c r="Z60">
        <v>10</v>
      </c>
    </row>
    <row r="61" spans="1:27" x14ac:dyDescent="0.25">
      <c r="A61" s="3">
        <v>2023</v>
      </c>
      <c r="B61" s="3">
        <v>10</v>
      </c>
      <c r="C61" s="3">
        <v>23</v>
      </c>
      <c r="D61" s="3" t="s">
        <v>66</v>
      </c>
      <c r="E61" s="3" t="s">
        <v>66</v>
      </c>
      <c r="F61" s="3" t="s">
        <v>66</v>
      </c>
      <c r="G61" s="3" t="s">
        <v>66</v>
      </c>
      <c r="H61" t="s">
        <v>14</v>
      </c>
      <c r="I61">
        <v>50</v>
      </c>
      <c r="J61" t="s">
        <v>86</v>
      </c>
      <c r="K61" s="1">
        <v>3</v>
      </c>
      <c r="L61" s="1">
        <v>2</v>
      </c>
      <c r="M61">
        <v>46</v>
      </c>
      <c r="N61" s="2">
        <v>0.5</v>
      </c>
      <c r="P61" s="1">
        <v>2</v>
      </c>
      <c r="Q61" s="1">
        <v>2</v>
      </c>
    </row>
    <row r="62" spans="1:27" x14ac:dyDescent="0.25">
      <c r="A62" s="3">
        <v>2023</v>
      </c>
      <c r="B62" s="3">
        <v>10</v>
      </c>
      <c r="C62" s="3">
        <v>23</v>
      </c>
      <c r="D62" s="3" t="s">
        <v>73</v>
      </c>
      <c r="E62" s="3" t="s">
        <v>73</v>
      </c>
      <c r="F62" s="3" t="s">
        <v>73</v>
      </c>
      <c r="G62" s="3" t="s">
        <v>73</v>
      </c>
      <c r="H62" t="s">
        <v>14</v>
      </c>
      <c r="I62">
        <v>100</v>
      </c>
      <c r="J62" t="s">
        <v>86</v>
      </c>
      <c r="K62" s="1">
        <v>4</v>
      </c>
      <c r="L62" s="1">
        <v>2</v>
      </c>
      <c r="M62">
        <v>47</v>
      </c>
      <c r="N62" s="2">
        <v>0.49930555555555556</v>
      </c>
      <c r="P62" s="1">
        <v>4</v>
      </c>
      <c r="Q62" s="1">
        <v>3</v>
      </c>
      <c r="R62">
        <v>21</v>
      </c>
      <c r="S62">
        <v>27</v>
      </c>
      <c r="T62">
        <v>22</v>
      </c>
      <c r="U62">
        <v>13</v>
      </c>
      <c r="V62">
        <v>31</v>
      </c>
      <c r="W62">
        <v>10</v>
      </c>
      <c r="X62">
        <v>6</v>
      </c>
      <c r="Y62">
        <v>8</v>
      </c>
      <c r="Z62">
        <v>10</v>
      </c>
      <c r="AA62" t="s">
        <v>74</v>
      </c>
    </row>
    <row r="63" spans="1:27" x14ac:dyDescent="0.25">
      <c r="A63" s="3">
        <v>2023</v>
      </c>
      <c r="B63" s="3">
        <v>10</v>
      </c>
      <c r="C63" s="3">
        <v>23</v>
      </c>
      <c r="D63" s="3" t="s">
        <v>66</v>
      </c>
      <c r="E63" s="3" t="s">
        <v>66</v>
      </c>
      <c r="F63" s="3" t="s">
        <v>66</v>
      </c>
      <c r="G63" s="3" t="s">
        <v>66</v>
      </c>
      <c r="H63" t="s">
        <v>14</v>
      </c>
      <c r="I63">
        <v>100</v>
      </c>
      <c r="J63" t="s">
        <v>86</v>
      </c>
      <c r="K63" s="1">
        <v>4</v>
      </c>
      <c r="L63" s="1">
        <v>2</v>
      </c>
      <c r="M63">
        <v>40</v>
      </c>
      <c r="N63" s="2">
        <v>0.4826388888888889</v>
      </c>
      <c r="P63" s="1">
        <v>4</v>
      </c>
      <c r="Q63" s="1">
        <v>3</v>
      </c>
      <c r="R63">
        <v>31</v>
      </c>
      <c r="S63">
        <v>35</v>
      </c>
      <c r="T63">
        <v>28</v>
      </c>
      <c r="U63">
        <v>40</v>
      </c>
      <c r="V63">
        <v>23</v>
      </c>
      <c r="W63">
        <v>2</v>
      </c>
      <c r="X63">
        <v>12</v>
      </c>
      <c r="Y63">
        <v>20</v>
      </c>
      <c r="Z63">
        <v>10</v>
      </c>
      <c r="AA63" t="s">
        <v>67</v>
      </c>
    </row>
    <row r="64" spans="1:27" x14ac:dyDescent="0.25">
      <c r="A64" s="3">
        <v>2023</v>
      </c>
      <c r="B64" s="3">
        <v>10</v>
      </c>
      <c r="C64" s="3">
        <v>23</v>
      </c>
      <c r="D64" s="3" t="s">
        <v>73</v>
      </c>
      <c r="E64" s="3" t="s">
        <v>73</v>
      </c>
      <c r="F64" s="3" t="s">
        <v>73</v>
      </c>
      <c r="G64" s="3" t="s">
        <v>73</v>
      </c>
      <c r="H64" t="s">
        <v>14</v>
      </c>
      <c r="I64">
        <v>150</v>
      </c>
      <c r="J64" t="s">
        <v>78</v>
      </c>
      <c r="K64" s="1">
        <v>4</v>
      </c>
      <c r="L64" s="1">
        <v>3</v>
      </c>
      <c r="M64">
        <v>67</v>
      </c>
      <c r="N64" s="2">
        <v>0.4826388888888889</v>
      </c>
      <c r="P64" s="1">
        <v>3</v>
      </c>
      <c r="Q64" s="1">
        <v>3</v>
      </c>
    </row>
    <row r="65" spans="1:27" x14ac:dyDescent="0.25">
      <c r="A65" s="3">
        <v>2023</v>
      </c>
      <c r="B65" s="3">
        <v>10</v>
      </c>
      <c r="C65" s="3">
        <v>23</v>
      </c>
      <c r="D65" s="3" t="s">
        <v>66</v>
      </c>
      <c r="E65" s="3" t="s">
        <v>66</v>
      </c>
      <c r="F65" s="3" t="s">
        <v>66</v>
      </c>
      <c r="G65" s="3" t="s">
        <v>66</v>
      </c>
      <c r="H65" t="s">
        <v>14</v>
      </c>
      <c r="I65">
        <v>150</v>
      </c>
      <c r="J65" t="s">
        <v>78</v>
      </c>
      <c r="K65" s="1">
        <v>4</v>
      </c>
      <c r="L65" s="1">
        <v>2</v>
      </c>
      <c r="M65">
        <v>60</v>
      </c>
      <c r="N65" s="2">
        <v>0.49583333333333335</v>
      </c>
      <c r="P65" s="1">
        <v>3</v>
      </c>
      <c r="Q65" s="1">
        <v>3</v>
      </c>
    </row>
    <row r="66" spans="1:27" x14ac:dyDescent="0.25">
      <c r="A66" s="3">
        <v>2023</v>
      </c>
      <c r="B66" s="3">
        <v>10</v>
      </c>
      <c r="C66" s="3">
        <v>23</v>
      </c>
      <c r="D66" s="3" t="s">
        <v>68</v>
      </c>
      <c r="E66" s="3" t="s">
        <v>68</v>
      </c>
      <c r="F66" s="3" t="s">
        <v>68</v>
      </c>
      <c r="G66" s="3" t="s">
        <v>68</v>
      </c>
      <c r="H66" t="s">
        <v>14</v>
      </c>
      <c r="I66">
        <v>200</v>
      </c>
      <c r="J66" t="s">
        <v>78</v>
      </c>
      <c r="K66" s="1">
        <v>5</v>
      </c>
      <c r="L66" s="1">
        <v>2</v>
      </c>
      <c r="M66">
        <v>67</v>
      </c>
      <c r="N66" s="2">
        <v>0.48888888888888887</v>
      </c>
      <c r="P66" s="1">
        <v>2</v>
      </c>
      <c r="Q66" s="1">
        <v>3</v>
      </c>
    </row>
    <row r="67" spans="1:27" x14ac:dyDescent="0.25">
      <c r="A67" s="3">
        <v>2023</v>
      </c>
      <c r="B67" s="3">
        <v>10</v>
      </c>
      <c r="C67" s="3">
        <v>23</v>
      </c>
      <c r="D67" s="3" t="s">
        <v>70</v>
      </c>
      <c r="E67" s="3" t="s">
        <v>70</v>
      </c>
      <c r="F67" s="3" t="s">
        <v>70</v>
      </c>
      <c r="G67" s="3" t="s">
        <v>70</v>
      </c>
      <c r="H67" t="s">
        <v>14</v>
      </c>
      <c r="I67">
        <v>200</v>
      </c>
      <c r="J67" t="s">
        <v>78</v>
      </c>
      <c r="K67" s="1">
        <v>4</v>
      </c>
      <c r="L67" s="1">
        <v>1</v>
      </c>
      <c r="M67">
        <v>63</v>
      </c>
      <c r="N67" s="2">
        <v>0.49444444444444446</v>
      </c>
      <c r="P67" s="1">
        <v>2</v>
      </c>
      <c r="Q67" s="1">
        <v>4</v>
      </c>
      <c r="R67">
        <v>26</v>
      </c>
      <c r="S67">
        <v>36</v>
      </c>
      <c r="T67">
        <v>19</v>
      </c>
      <c r="U67">
        <v>13</v>
      </c>
      <c r="V67">
        <v>26</v>
      </c>
      <c r="W67">
        <v>7</v>
      </c>
      <c r="X67">
        <v>6</v>
      </c>
      <c r="Y67">
        <v>15</v>
      </c>
      <c r="Z67">
        <v>10</v>
      </c>
      <c r="AA67" t="s">
        <v>65</v>
      </c>
    </row>
    <row r="68" spans="1:27" x14ac:dyDescent="0.25">
      <c r="A68" s="3">
        <v>2023</v>
      </c>
      <c r="B68" s="3">
        <v>10</v>
      </c>
      <c r="C68" s="3">
        <v>23</v>
      </c>
      <c r="D68" s="3" t="s">
        <v>68</v>
      </c>
      <c r="E68" s="3" t="s">
        <v>68</v>
      </c>
      <c r="F68" s="3" t="s">
        <v>68</v>
      </c>
      <c r="G68" s="3" t="s">
        <v>68</v>
      </c>
      <c r="H68" t="s">
        <v>14</v>
      </c>
      <c r="I68">
        <v>250</v>
      </c>
      <c r="J68" t="s">
        <v>78</v>
      </c>
      <c r="K68" s="1">
        <v>3</v>
      </c>
      <c r="L68" s="1">
        <v>2</v>
      </c>
      <c r="M68">
        <v>67</v>
      </c>
      <c r="N68" s="2">
        <v>0.49305555555555558</v>
      </c>
      <c r="P68" s="1">
        <v>1</v>
      </c>
      <c r="Q68" s="1">
        <v>3</v>
      </c>
      <c r="R68">
        <v>32</v>
      </c>
      <c r="S68">
        <v>48</v>
      </c>
      <c r="T68">
        <v>38</v>
      </c>
      <c r="U68">
        <v>34</v>
      </c>
      <c r="V68">
        <v>31</v>
      </c>
      <c r="W68">
        <v>8</v>
      </c>
      <c r="X68">
        <v>8</v>
      </c>
      <c r="Y68">
        <v>6</v>
      </c>
      <c r="Z68">
        <v>10</v>
      </c>
      <c r="AA68" t="s">
        <v>72</v>
      </c>
    </row>
    <row r="69" spans="1:27" x14ac:dyDescent="0.25">
      <c r="A69" s="3">
        <v>2023</v>
      </c>
      <c r="B69" s="3">
        <v>10</v>
      </c>
      <c r="C69" s="3">
        <v>23</v>
      </c>
      <c r="D69" s="3" t="s">
        <v>73</v>
      </c>
      <c r="E69" s="3" t="s">
        <v>73</v>
      </c>
      <c r="F69" s="3" t="s">
        <v>73</v>
      </c>
      <c r="G69" s="3" t="s">
        <v>73</v>
      </c>
      <c r="H69" t="s">
        <v>14</v>
      </c>
      <c r="I69">
        <v>250</v>
      </c>
      <c r="J69" t="s">
        <v>87</v>
      </c>
      <c r="K69" s="1">
        <v>2</v>
      </c>
      <c r="L69" s="1">
        <v>3</v>
      </c>
      <c r="M69">
        <v>67</v>
      </c>
      <c r="N69" s="2">
        <v>0.47569444444444442</v>
      </c>
      <c r="P69" s="1">
        <v>3</v>
      </c>
      <c r="Q69" s="1">
        <v>3</v>
      </c>
      <c r="AA69" t="s">
        <v>75</v>
      </c>
    </row>
    <row r="70" spans="1:27" x14ac:dyDescent="0.25">
      <c r="A70" s="3">
        <v>2024</v>
      </c>
      <c r="B70" s="3">
        <v>10</v>
      </c>
      <c r="C70" s="3">
        <v>24</v>
      </c>
      <c r="D70" t="s">
        <v>110</v>
      </c>
      <c r="E70" t="s">
        <v>110</v>
      </c>
      <c r="F70" t="s">
        <v>110</v>
      </c>
      <c r="G70" t="s">
        <v>110</v>
      </c>
      <c r="H70" t="s">
        <v>14</v>
      </c>
      <c r="I70">
        <v>0</v>
      </c>
      <c r="J70" t="s">
        <v>86</v>
      </c>
      <c r="K70" s="1">
        <v>3</v>
      </c>
      <c r="L70" s="1">
        <v>3</v>
      </c>
      <c r="M70">
        <v>23</v>
      </c>
      <c r="N70" s="2">
        <v>0.47638888888888886</v>
      </c>
      <c r="P70" s="1">
        <v>3</v>
      </c>
      <c r="Q70" s="1">
        <v>4</v>
      </c>
    </row>
    <row r="71" spans="1:27" x14ac:dyDescent="0.25">
      <c r="A71" s="3">
        <v>2024</v>
      </c>
      <c r="B71" s="3">
        <v>10</v>
      </c>
      <c r="C71" s="3">
        <v>24</v>
      </c>
      <c r="D71" t="s">
        <v>109</v>
      </c>
      <c r="E71" t="s">
        <v>109</v>
      </c>
      <c r="F71" t="s">
        <v>109</v>
      </c>
      <c r="G71" t="s">
        <v>109</v>
      </c>
      <c r="H71" t="s">
        <v>14</v>
      </c>
      <c r="I71">
        <v>0</v>
      </c>
      <c r="J71" t="s">
        <v>86</v>
      </c>
      <c r="K71" s="1">
        <v>3</v>
      </c>
      <c r="L71" s="1">
        <v>3</v>
      </c>
      <c r="M71">
        <v>23</v>
      </c>
      <c r="N71" s="2">
        <v>0.49444444444444446</v>
      </c>
      <c r="P71" s="1">
        <v>3</v>
      </c>
      <c r="Q71" s="1">
        <v>2</v>
      </c>
      <c r="R71">
        <v>22</v>
      </c>
      <c r="S71">
        <v>23</v>
      </c>
      <c r="T71">
        <v>20</v>
      </c>
      <c r="U71">
        <v>20</v>
      </c>
      <c r="V71">
        <v>24</v>
      </c>
      <c r="W71">
        <v>11</v>
      </c>
      <c r="X71">
        <v>2</v>
      </c>
      <c r="Y71">
        <v>10</v>
      </c>
      <c r="Z71">
        <v>10</v>
      </c>
    </row>
    <row r="72" spans="1:27" x14ac:dyDescent="0.25">
      <c r="A72" s="3">
        <v>2024</v>
      </c>
      <c r="B72" s="3">
        <v>10</v>
      </c>
      <c r="C72" s="3">
        <v>24</v>
      </c>
      <c r="D72" t="s">
        <v>110</v>
      </c>
      <c r="E72" t="s">
        <v>110</v>
      </c>
      <c r="F72" t="s">
        <v>110</v>
      </c>
      <c r="G72" t="s">
        <v>110</v>
      </c>
      <c r="H72" t="s">
        <v>14</v>
      </c>
      <c r="I72">
        <v>0</v>
      </c>
      <c r="J72" t="s">
        <v>87</v>
      </c>
      <c r="K72" s="1">
        <v>3</v>
      </c>
      <c r="L72" s="1">
        <v>3</v>
      </c>
      <c r="M72">
        <v>23</v>
      </c>
      <c r="N72" s="2">
        <v>0.47638888888888886</v>
      </c>
      <c r="P72" s="1">
        <v>3</v>
      </c>
      <c r="Q72" s="1">
        <v>4</v>
      </c>
    </row>
    <row r="73" spans="1:27" x14ac:dyDescent="0.25">
      <c r="A73" s="3">
        <v>2024</v>
      </c>
      <c r="B73" s="3">
        <v>10</v>
      </c>
      <c r="C73" s="3">
        <v>24</v>
      </c>
      <c r="D73" t="s">
        <v>109</v>
      </c>
      <c r="E73" t="s">
        <v>109</v>
      </c>
      <c r="F73" t="s">
        <v>109</v>
      </c>
      <c r="G73" t="s">
        <v>109</v>
      </c>
      <c r="H73" t="s">
        <v>14</v>
      </c>
      <c r="I73">
        <v>0</v>
      </c>
      <c r="J73" t="s">
        <v>87</v>
      </c>
      <c r="K73" s="1">
        <v>1</v>
      </c>
      <c r="L73" s="1">
        <v>2</v>
      </c>
      <c r="M73">
        <v>23</v>
      </c>
      <c r="N73" s="2">
        <v>0.49583333333333335</v>
      </c>
      <c r="P73" s="1">
        <v>2</v>
      </c>
      <c r="Q73" s="1">
        <v>2</v>
      </c>
      <c r="R73">
        <v>30</v>
      </c>
      <c r="S73">
        <v>40</v>
      </c>
      <c r="W73">
        <v>1</v>
      </c>
      <c r="X73">
        <v>1</v>
      </c>
      <c r="Z73">
        <v>25</v>
      </c>
    </row>
    <row r="74" spans="1:27" x14ac:dyDescent="0.25">
      <c r="A74" s="3">
        <v>2024</v>
      </c>
      <c r="B74" s="3">
        <v>10</v>
      </c>
      <c r="C74" s="3">
        <v>24</v>
      </c>
      <c r="D74" t="s">
        <v>110</v>
      </c>
      <c r="E74" t="s">
        <v>110</v>
      </c>
      <c r="F74" t="s">
        <v>110</v>
      </c>
      <c r="G74" t="s">
        <v>110</v>
      </c>
      <c r="H74" t="s">
        <v>14</v>
      </c>
      <c r="I74">
        <v>50</v>
      </c>
      <c r="J74" t="s">
        <v>78</v>
      </c>
      <c r="K74" s="1">
        <v>3</v>
      </c>
      <c r="L74" s="1">
        <v>3</v>
      </c>
      <c r="M74">
        <v>35</v>
      </c>
      <c r="N74" s="2">
        <v>0.49236111111111114</v>
      </c>
      <c r="P74" s="1">
        <v>2</v>
      </c>
      <c r="Q74" s="1">
        <v>3</v>
      </c>
    </row>
    <row r="75" spans="1:27" x14ac:dyDescent="0.25">
      <c r="A75" s="3">
        <v>2024</v>
      </c>
      <c r="B75" s="3">
        <v>10</v>
      </c>
      <c r="C75" s="3">
        <v>24</v>
      </c>
      <c r="D75" t="s">
        <v>110</v>
      </c>
      <c r="E75" t="s">
        <v>110</v>
      </c>
      <c r="F75" t="s">
        <v>110</v>
      </c>
      <c r="G75" t="s">
        <v>110</v>
      </c>
      <c r="H75" t="s">
        <v>14</v>
      </c>
      <c r="I75">
        <v>50</v>
      </c>
      <c r="J75" t="s">
        <v>86</v>
      </c>
      <c r="K75" s="1">
        <v>3</v>
      </c>
      <c r="L75" s="1">
        <v>3</v>
      </c>
      <c r="M75">
        <v>35</v>
      </c>
      <c r="N75" s="2">
        <v>0.49236111111111114</v>
      </c>
      <c r="P75" s="1">
        <v>2</v>
      </c>
      <c r="Q75" s="1">
        <v>3</v>
      </c>
    </row>
    <row r="76" spans="1:27" x14ac:dyDescent="0.25">
      <c r="A76" s="3">
        <v>2024</v>
      </c>
      <c r="B76" s="3">
        <v>10</v>
      </c>
      <c r="C76" s="3">
        <v>24</v>
      </c>
      <c r="D76" t="s">
        <v>110</v>
      </c>
      <c r="E76" t="s">
        <v>110</v>
      </c>
      <c r="F76" t="s">
        <v>110</v>
      </c>
      <c r="G76" t="s">
        <v>110</v>
      </c>
      <c r="H76" t="s">
        <v>14</v>
      </c>
      <c r="I76">
        <v>50</v>
      </c>
      <c r="J76" t="s">
        <v>87</v>
      </c>
      <c r="K76" s="1">
        <v>3</v>
      </c>
      <c r="L76" s="1">
        <v>3</v>
      </c>
      <c r="M76">
        <v>35</v>
      </c>
      <c r="N76" s="2">
        <v>0.49236111111111114</v>
      </c>
      <c r="P76" s="1">
        <v>2</v>
      </c>
      <c r="Q76" s="1">
        <v>3</v>
      </c>
      <c r="R76">
        <v>22</v>
      </c>
      <c r="S76">
        <v>30</v>
      </c>
      <c r="T76">
        <v>17</v>
      </c>
      <c r="U76">
        <v>24</v>
      </c>
      <c r="V76">
        <v>26</v>
      </c>
      <c r="W76">
        <v>3</v>
      </c>
      <c r="X76">
        <v>2</v>
      </c>
      <c r="Y76">
        <v>1</v>
      </c>
      <c r="Z76">
        <v>10</v>
      </c>
    </row>
    <row r="77" spans="1:27" x14ac:dyDescent="0.25">
      <c r="A77" s="3">
        <v>2024</v>
      </c>
      <c r="B77" s="3">
        <v>10</v>
      </c>
      <c r="C77" s="3">
        <v>24</v>
      </c>
      <c r="D77" t="s">
        <v>109</v>
      </c>
      <c r="E77" t="s">
        <v>109</v>
      </c>
      <c r="F77" t="s">
        <v>109</v>
      </c>
      <c r="G77" t="s">
        <v>109</v>
      </c>
      <c r="H77" t="s">
        <v>14</v>
      </c>
      <c r="I77">
        <v>50</v>
      </c>
      <c r="J77" t="s">
        <v>87</v>
      </c>
      <c r="K77" s="1">
        <v>4</v>
      </c>
      <c r="L77" s="1">
        <v>2</v>
      </c>
      <c r="M77">
        <v>33</v>
      </c>
      <c r="N77" s="2">
        <v>0.47569444444444442</v>
      </c>
      <c r="P77" s="1">
        <v>3</v>
      </c>
      <c r="Q77" s="1">
        <v>3</v>
      </c>
    </row>
    <row r="78" spans="1:27" x14ac:dyDescent="0.25">
      <c r="A78" s="3">
        <v>2024</v>
      </c>
      <c r="B78" s="3">
        <v>10</v>
      </c>
      <c r="C78" s="3">
        <v>24</v>
      </c>
      <c r="D78" s="3" t="s">
        <v>111</v>
      </c>
      <c r="E78" s="3" t="s">
        <v>111</v>
      </c>
      <c r="F78" s="3" t="s">
        <v>111</v>
      </c>
      <c r="G78" s="3" t="s">
        <v>111</v>
      </c>
      <c r="H78" t="s">
        <v>14</v>
      </c>
      <c r="I78">
        <v>50</v>
      </c>
      <c r="J78" t="s">
        <v>87</v>
      </c>
      <c r="K78" s="1">
        <v>4</v>
      </c>
      <c r="L78" s="1">
        <v>3</v>
      </c>
      <c r="M78">
        <v>30</v>
      </c>
      <c r="N78" s="2">
        <v>0.48958333333333331</v>
      </c>
      <c r="P78" s="1">
        <v>3</v>
      </c>
      <c r="Q78" s="1">
        <v>3</v>
      </c>
    </row>
    <row r="79" spans="1:27" x14ac:dyDescent="0.25">
      <c r="A79" s="3">
        <v>2024</v>
      </c>
      <c r="B79" s="3">
        <v>10</v>
      </c>
      <c r="C79" s="3">
        <v>24</v>
      </c>
      <c r="D79" t="s">
        <v>110</v>
      </c>
      <c r="E79" t="s">
        <v>110</v>
      </c>
      <c r="F79" t="s">
        <v>110</v>
      </c>
      <c r="G79" t="s">
        <v>110</v>
      </c>
      <c r="H79" t="s">
        <v>14</v>
      </c>
      <c r="I79">
        <v>100</v>
      </c>
      <c r="J79" t="s">
        <v>78</v>
      </c>
      <c r="K79" s="1">
        <v>2</v>
      </c>
      <c r="L79" s="1">
        <v>1</v>
      </c>
      <c r="M79">
        <v>36</v>
      </c>
      <c r="N79" s="2">
        <v>0.49166666666666664</v>
      </c>
      <c r="P79" s="1">
        <v>2</v>
      </c>
      <c r="Q79" s="1">
        <v>3</v>
      </c>
    </row>
    <row r="80" spans="1:27" x14ac:dyDescent="0.25">
      <c r="A80" s="3">
        <v>2024</v>
      </c>
      <c r="B80" s="3">
        <v>10</v>
      </c>
      <c r="C80" s="3">
        <v>24</v>
      </c>
      <c r="D80" t="s">
        <v>90</v>
      </c>
      <c r="E80" t="s">
        <v>90</v>
      </c>
      <c r="F80" t="s">
        <v>90</v>
      </c>
      <c r="G80" t="s">
        <v>90</v>
      </c>
      <c r="H80" t="s">
        <v>14</v>
      </c>
      <c r="I80">
        <v>100</v>
      </c>
      <c r="J80" t="s">
        <v>87</v>
      </c>
      <c r="K80" s="1">
        <v>4</v>
      </c>
      <c r="L80" s="1">
        <v>3</v>
      </c>
      <c r="M80">
        <v>36</v>
      </c>
      <c r="N80" s="2">
        <v>0.49791666666666667</v>
      </c>
      <c r="P80" s="1">
        <v>3</v>
      </c>
      <c r="Q80" s="1">
        <v>1</v>
      </c>
      <c r="R80">
        <v>22</v>
      </c>
      <c r="S80">
        <v>26</v>
      </c>
      <c r="T80">
        <v>28</v>
      </c>
      <c r="U80">
        <v>29</v>
      </c>
      <c r="V80">
        <v>33</v>
      </c>
      <c r="W80">
        <v>11</v>
      </c>
      <c r="X80">
        <v>9</v>
      </c>
      <c r="Y80">
        <v>5</v>
      </c>
      <c r="Z80">
        <v>10</v>
      </c>
      <c r="AA80" t="s">
        <v>107</v>
      </c>
    </row>
    <row r="81" spans="1:27" x14ac:dyDescent="0.25">
      <c r="A81" s="3">
        <v>2024</v>
      </c>
      <c r="B81" s="3">
        <v>10</v>
      </c>
      <c r="C81" s="3">
        <v>24</v>
      </c>
      <c r="D81" t="s">
        <v>110</v>
      </c>
      <c r="E81" t="s">
        <v>110</v>
      </c>
      <c r="F81" t="s">
        <v>110</v>
      </c>
      <c r="G81" t="s">
        <v>110</v>
      </c>
      <c r="H81" t="s">
        <v>14</v>
      </c>
      <c r="I81">
        <v>100</v>
      </c>
      <c r="J81" t="s">
        <v>87</v>
      </c>
      <c r="K81" s="1">
        <v>2</v>
      </c>
      <c r="L81" s="1">
        <v>1</v>
      </c>
      <c r="M81">
        <v>36</v>
      </c>
      <c r="N81" s="2">
        <v>0.49166666666666664</v>
      </c>
      <c r="P81" s="1">
        <v>2</v>
      </c>
      <c r="Q81" s="1">
        <v>3</v>
      </c>
    </row>
    <row r="82" spans="1:27" x14ac:dyDescent="0.25">
      <c r="A82" s="3">
        <v>2024</v>
      </c>
      <c r="B82" s="3">
        <v>10</v>
      </c>
      <c r="C82" s="3">
        <v>24</v>
      </c>
      <c r="D82" t="s">
        <v>109</v>
      </c>
      <c r="E82" t="s">
        <v>109</v>
      </c>
      <c r="F82" t="s">
        <v>109</v>
      </c>
      <c r="G82" t="s">
        <v>109</v>
      </c>
      <c r="H82" t="s">
        <v>14</v>
      </c>
      <c r="I82">
        <v>100</v>
      </c>
      <c r="J82" t="s">
        <v>87</v>
      </c>
      <c r="K82" s="1">
        <v>3</v>
      </c>
      <c r="L82" s="1">
        <v>3</v>
      </c>
      <c r="M82">
        <v>39</v>
      </c>
      <c r="N82" s="2">
        <v>0.48194444444444445</v>
      </c>
      <c r="P82" s="1">
        <v>4</v>
      </c>
      <c r="Q82" s="1">
        <v>3</v>
      </c>
      <c r="R82">
        <v>35</v>
      </c>
      <c r="S82">
        <v>38</v>
      </c>
      <c r="T82">
        <v>37</v>
      </c>
      <c r="U82">
        <v>36</v>
      </c>
      <c r="V82">
        <v>37</v>
      </c>
      <c r="W82">
        <v>20</v>
      </c>
      <c r="X82">
        <v>13</v>
      </c>
      <c r="Y82">
        <v>9</v>
      </c>
      <c r="Z82">
        <v>10</v>
      </c>
    </row>
    <row r="83" spans="1:27" x14ac:dyDescent="0.25">
      <c r="A83" s="3">
        <v>2024</v>
      </c>
      <c r="B83" s="3">
        <v>10</v>
      </c>
      <c r="C83" s="3">
        <v>24</v>
      </c>
      <c r="D83" t="s">
        <v>90</v>
      </c>
      <c r="E83" t="s">
        <v>90</v>
      </c>
      <c r="F83" t="s">
        <v>90</v>
      </c>
      <c r="G83" t="s">
        <v>90</v>
      </c>
      <c r="H83" t="s">
        <v>14</v>
      </c>
      <c r="I83">
        <v>150</v>
      </c>
      <c r="J83" t="s">
        <v>78</v>
      </c>
      <c r="K83" s="1">
        <v>3</v>
      </c>
      <c r="L83" s="1">
        <v>3</v>
      </c>
      <c r="M83">
        <v>46</v>
      </c>
      <c r="N83" s="2">
        <v>0.47708333333333336</v>
      </c>
      <c r="P83" s="1">
        <v>3</v>
      </c>
      <c r="Q83" s="1">
        <v>3</v>
      </c>
      <c r="R83">
        <v>42</v>
      </c>
      <c r="S83">
        <v>33</v>
      </c>
      <c r="T83">
        <v>45</v>
      </c>
      <c r="U83">
        <v>29</v>
      </c>
      <c r="V83">
        <v>35</v>
      </c>
      <c r="W83">
        <v>15</v>
      </c>
      <c r="X83">
        <v>12</v>
      </c>
      <c r="Y83">
        <v>16</v>
      </c>
      <c r="Z83">
        <v>10</v>
      </c>
      <c r="AA83" t="s">
        <v>108</v>
      </c>
    </row>
    <row r="84" spans="1:27" x14ac:dyDescent="0.25">
      <c r="A84" s="3">
        <v>2024</v>
      </c>
      <c r="B84" s="3">
        <v>10</v>
      </c>
      <c r="C84" s="3">
        <v>24</v>
      </c>
      <c r="D84" t="s">
        <v>90</v>
      </c>
      <c r="E84" t="s">
        <v>90</v>
      </c>
      <c r="F84" t="s">
        <v>90</v>
      </c>
      <c r="G84" t="s">
        <v>90</v>
      </c>
      <c r="H84" t="s">
        <v>14</v>
      </c>
      <c r="I84">
        <v>200</v>
      </c>
      <c r="J84" t="s">
        <v>78</v>
      </c>
      <c r="K84" s="1">
        <v>4</v>
      </c>
      <c r="L84" s="1">
        <v>3</v>
      </c>
      <c r="M84">
        <v>41</v>
      </c>
      <c r="N84" s="2">
        <v>0.48888888888888887</v>
      </c>
      <c r="P84" s="1">
        <v>3</v>
      </c>
      <c r="Q84" s="1">
        <v>3</v>
      </c>
      <c r="R84">
        <v>46</v>
      </c>
      <c r="S84">
        <v>45</v>
      </c>
      <c r="T84">
        <v>44</v>
      </c>
      <c r="U84">
        <v>37</v>
      </c>
      <c r="V84">
        <v>39</v>
      </c>
      <c r="W84">
        <v>17</v>
      </c>
      <c r="X84">
        <v>14</v>
      </c>
      <c r="Y84">
        <v>13</v>
      </c>
      <c r="Z84">
        <v>10</v>
      </c>
    </row>
    <row r="85" spans="1:27" x14ac:dyDescent="0.25">
      <c r="A85" s="3">
        <v>2024</v>
      </c>
      <c r="B85" s="3">
        <v>10</v>
      </c>
      <c r="C85" s="3">
        <v>24</v>
      </c>
      <c r="D85" s="3" t="s">
        <v>111</v>
      </c>
      <c r="E85" s="3" t="s">
        <v>111</v>
      </c>
      <c r="F85" s="3" t="s">
        <v>111</v>
      </c>
      <c r="G85" s="3" t="s">
        <v>111</v>
      </c>
      <c r="H85" t="s">
        <v>14</v>
      </c>
      <c r="I85">
        <v>200</v>
      </c>
      <c r="J85" t="s">
        <v>78</v>
      </c>
      <c r="K85" s="1">
        <v>3</v>
      </c>
      <c r="L85" s="1">
        <v>3</v>
      </c>
      <c r="M85">
        <v>44</v>
      </c>
      <c r="N85" s="2">
        <v>0.47847222222222224</v>
      </c>
      <c r="P85" s="1">
        <v>3</v>
      </c>
      <c r="Q85" s="1">
        <v>3</v>
      </c>
      <c r="R85">
        <v>27</v>
      </c>
      <c r="S85">
        <v>33</v>
      </c>
      <c r="T85">
        <v>30</v>
      </c>
      <c r="U85">
        <v>35</v>
      </c>
      <c r="V85">
        <v>44</v>
      </c>
      <c r="W85">
        <v>6</v>
      </c>
      <c r="X85">
        <v>4</v>
      </c>
      <c r="Y85">
        <v>11</v>
      </c>
      <c r="Z85">
        <v>10</v>
      </c>
    </row>
    <row r="86" spans="1:27" x14ac:dyDescent="0.25">
      <c r="A86" s="3">
        <v>2024</v>
      </c>
      <c r="B86" s="3">
        <v>10</v>
      </c>
      <c r="C86" s="3">
        <v>24</v>
      </c>
      <c r="D86" t="s">
        <v>90</v>
      </c>
      <c r="E86" t="s">
        <v>90</v>
      </c>
      <c r="F86" t="s">
        <v>90</v>
      </c>
      <c r="G86" t="s">
        <v>90</v>
      </c>
      <c r="H86" t="s">
        <v>14</v>
      </c>
      <c r="I86">
        <v>200</v>
      </c>
      <c r="J86" t="s">
        <v>86</v>
      </c>
      <c r="K86" s="1">
        <v>4</v>
      </c>
      <c r="L86" s="1">
        <v>3</v>
      </c>
      <c r="M86">
        <v>41</v>
      </c>
      <c r="N86" s="2">
        <v>0.48888888888888887</v>
      </c>
      <c r="P86" s="1">
        <v>2</v>
      </c>
      <c r="Q86" s="1">
        <v>3</v>
      </c>
    </row>
    <row r="87" spans="1:27" x14ac:dyDescent="0.25">
      <c r="A87" s="3">
        <v>2024</v>
      </c>
      <c r="B87" s="3">
        <v>10</v>
      </c>
      <c r="C87" s="3">
        <v>24</v>
      </c>
      <c r="D87" t="s">
        <v>110</v>
      </c>
      <c r="E87" t="s">
        <v>110</v>
      </c>
      <c r="F87" t="s">
        <v>110</v>
      </c>
      <c r="G87" t="s">
        <v>110</v>
      </c>
      <c r="H87" t="s">
        <v>14</v>
      </c>
      <c r="I87">
        <v>250</v>
      </c>
      <c r="J87" t="s">
        <v>78</v>
      </c>
      <c r="K87" s="1">
        <v>2</v>
      </c>
      <c r="L87" s="1">
        <v>2</v>
      </c>
      <c r="M87">
        <v>36</v>
      </c>
      <c r="N87" s="2">
        <v>0.48333333333333334</v>
      </c>
      <c r="P87" s="1">
        <v>3</v>
      </c>
      <c r="Q87" s="1">
        <v>3</v>
      </c>
      <c r="R87">
        <v>26</v>
      </c>
      <c r="S87">
        <v>19</v>
      </c>
      <c r="T87">
        <v>24</v>
      </c>
      <c r="U87">
        <v>28</v>
      </c>
      <c r="V87">
        <v>21</v>
      </c>
      <c r="W87">
        <v>5</v>
      </c>
      <c r="X87">
        <v>6</v>
      </c>
      <c r="Y87">
        <v>7</v>
      </c>
      <c r="Z87">
        <v>10</v>
      </c>
    </row>
    <row r="88" spans="1:27" x14ac:dyDescent="0.25">
      <c r="A88" s="3">
        <v>2024</v>
      </c>
      <c r="B88" s="3">
        <v>10</v>
      </c>
      <c r="C88" s="3">
        <v>24</v>
      </c>
      <c r="D88" t="s">
        <v>110</v>
      </c>
      <c r="E88" t="s">
        <v>110</v>
      </c>
      <c r="F88" t="s">
        <v>110</v>
      </c>
      <c r="G88" t="s">
        <v>110</v>
      </c>
      <c r="H88" t="s">
        <v>14</v>
      </c>
      <c r="I88">
        <v>250</v>
      </c>
      <c r="J88" t="s">
        <v>87</v>
      </c>
      <c r="K88" s="1">
        <v>2</v>
      </c>
      <c r="L88" s="1">
        <v>2</v>
      </c>
      <c r="M88">
        <v>36</v>
      </c>
      <c r="N88" s="2">
        <v>0.48333333333333334</v>
      </c>
      <c r="P88" s="1">
        <v>2</v>
      </c>
      <c r="Q88" s="1">
        <v>3</v>
      </c>
    </row>
    <row r="89" spans="1:27" x14ac:dyDescent="0.25">
      <c r="A89" s="3">
        <v>2024</v>
      </c>
      <c r="B89" s="3">
        <v>10</v>
      </c>
      <c r="C89" s="3">
        <v>24</v>
      </c>
      <c r="D89" t="s">
        <v>109</v>
      </c>
      <c r="E89" t="s">
        <v>109</v>
      </c>
      <c r="F89" t="s">
        <v>109</v>
      </c>
      <c r="G89" t="s">
        <v>109</v>
      </c>
      <c r="H89" t="s">
        <v>14</v>
      </c>
      <c r="I89">
        <v>250</v>
      </c>
      <c r="J89" t="s">
        <v>87</v>
      </c>
      <c r="K89" s="1">
        <v>3</v>
      </c>
      <c r="L89" s="1">
        <v>3</v>
      </c>
      <c r="M89">
        <v>37</v>
      </c>
      <c r="N89" s="2">
        <v>0.49027777777777776</v>
      </c>
      <c r="P89" s="1">
        <v>3</v>
      </c>
      <c r="Q89" s="1">
        <v>3</v>
      </c>
    </row>
    <row r="90" spans="1:27" x14ac:dyDescent="0.25">
      <c r="A90" s="3">
        <v>2024</v>
      </c>
      <c r="B90" s="3">
        <v>10</v>
      </c>
      <c r="C90" s="3">
        <v>24</v>
      </c>
      <c r="D90" s="3" t="s">
        <v>111</v>
      </c>
      <c r="E90" s="3" t="s">
        <v>111</v>
      </c>
      <c r="F90" s="3" t="s">
        <v>111</v>
      </c>
      <c r="G90" s="3" t="s">
        <v>111</v>
      </c>
      <c r="H90" t="s">
        <v>14</v>
      </c>
      <c r="I90">
        <v>250</v>
      </c>
      <c r="J90" t="s">
        <v>87</v>
      </c>
      <c r="K90" s="1">
        <v>4</v>
      </c>
      <c r="L90" s="1">
        <v>2</v>
      </c>
      <c r="M90">
        <v>36</v>
      </c>
      <c r="N90" s="2">
        <v>0.49583333333333335</v>
      </c>
      <c r="P90" s="1">
        <v>3</v>
      </c>
      <c r="Q90" s="1">
        <v>4</v>
      </c>
    </row>
    <row r="91" spans="1:27" x14ac:dyDescent="0.25">
      <c r="D91"/>
    </row>
  </sheetData>
  <autoFilter ref="A1:AA90" xr:uid="{29E2BD53-BAAA-40DB-8574-3C9CAEFE36CC}">
    <sortState xmlns:xlrd2="http://schemas.microsoft.com/office/spreadsheetml/2017/richdata2" ref="A2:AA90">
      <sortCondition ref="A2:A90"/>
      <sortCondition ref="I2:I90"/>
      <sortCondition ref="J2:J90"/>
    </sortState>
  </autoFilter>
  <sortState xmlns:xlrd2="http://schemas.microsoft.com/office/spreadsheetml/2017/richdata2" ref="A2:AA45">
    <sortCondition ref="A2:A45"/>
    <sortCondition ref="J2:J45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BB24-577F-4F8F-8DDD-4DA250818A2D}">
  <dimension ref="A1:M53"/>
  <sheetViews>
    <sheetView topLeftCell="G1" workbookViewId="0">
      <selection activeCell="C16" sqref="C16"/>
    </sheetView>
  </sheetViews>
  <sheetFormatPr defaultRowHeight="15" x14ac:dyDescent="0.25"/>
  <cols>
    <col min="1" max="1" width="10.7109375" style="7" bestFit="1" customWidth="1"/>
    <col min="2" max="2" width="9.7109375" style="7" bestFit="1" customWidth="1"/>
    <col min="3" max="3" width="9.42578125" style="7" bestFit="1" customWidth="1"/>
    <col min="4" max="4" width="16.5703125" style="7" bestFit="1" customWidth="1"/>
    <col min="5" max="5" width="11.7109375" style="7" bestFit="1" customWidth="1"/>
    <col min="6" max="6" width="20.7109375" style="14" bestFit="1" customWidth="1"/>
    <col min="7" max="7" width="15" style="7" bestFit="1" customWidth="1"/>
    <col min="8" max="8" width="17.42578125" style="7" bestFit="1" customWidth="1"/>
    <col min="9" max="10" width="9.140625" style="7"/>
    <col min="11" max="11" width="31.140625" bestFit="1" customWidth="1"/>
    <col min="12" max="13" width="9.140625" style="14"/>
  </cols>
  <sheetData>
    <row r="1" spans="1:11" x14ac:dyDescent="0.25">
      <c r="A1" s="14" t="s">
        <v>123</v>
      </c>
    </row>
    <row r="3" spans="1:11" x14ac:dyDescent="0.25">
      <c r="A3" s="7" t="s">
        <v>20</v>
      </c>
      <c r="B3" s="7" t="s">
        <v>35</v>
      </c>
      <c r="C3" s="7" t="s">
        <v>19</v>
      </c>
      <c r="D3" s="7" t="s">
        <v>13</v>
      </c>
      <c r="E3" s="7" t="s">
        <v>36</v>
      </c>
      <c r="F3" s="14" t="s">
        <v>25</v>
      </c>
      <c r="G3" s="7" t="s">
        <v>37</v>
      </c>
      <c r="H3" s="7" t="s">
        <v>38</v>
      </c>
      <c r="I3" s="7" t="s">
        <v>39</v>
      </c>
      <c r="J3" s="7" t="s">
        <v>40</v>
      </c>
      <c r="K3" t="s">
        <v>41</v>
      </c>
    </row>
    <row r="4" spans="1:11" x14ac:dyDescent="0.25">
      <c r="A4" s="7">
        <v>10</v>
      </c>
      <c r="B4" s="7">
        <v>20</v>
      </c>
      <c r="C4" s="7">
        <v>2025</v>
      </c>
      <c r="D4" s="7" t="s">
        <v>14</v>
      </c>
      <c r="E4" s="7">
        <v>20</v>
      </c>
      <c r="F4" s="14" t="s">
        <v>30</v>
      </c>
      <c r="G4" s="7" t="s">
        <v>44</v>
      </c>
      <c r="H4" s="7">
        <v>350</v>
      </c>
      <c r="I4" s="7">
        <v>200</v>
      </c>
      <c r="J4" s="7" t="s">
        <v>43</v>
      </c>
      <c r="K4" t="s">
        <v>45</v>
      </c>
    </row>
    <row r="5" spans="1:11" x14ac:dyDescent="0.25">
      <c r="A5" s="7">
        <v>10</v>
      </c>
      <c r="B5" s="7">
        <v>20</v>
      </c>
      <c r="C5" s="7">
        <v>2025</v>
      </c>
      <c r="D5" s="7" t="s">
        <v>14</v>
      </c>
      <c r="E5" s="7">
        <v>20</v>
      </c>
      <c r="F5" s="14" t="s">
        <v>34</v>
      </c>
      <c r="G5" s="7" t="s">
        <v>49</v>
      </c>
      <c r="H5" s="7">
        <v>350</v>
      </c>
      <c r="I5" s="7">
        <v>200</v>
      </c>
      <c r="J5" s="7" t="s">
        <v>43</v>
      </c>
      <c r="K5" t="s">
        <v>50</v>
      </c>
    </row>
    <row r="6" spans="1:11" x14ac:dyDescent="0.25">
      <c r="A6" s="7">
        <v>10</v>
      </c>
      <c r="B6" s="7">
        <v>20</v>
      </c>
      <c r="C6" s="7">
        <v>2025</v>
      </c>
      <c r="D6" s="7" t="s">
        <v>14</v>
      </c>
      <c r="E6" s="7">
        <v>20</v>
      </c>
      <c r="F6" s="14" t="s">
        <v>33</v>
      </c>
      <c r="G6" s="7" t="s">
        <v>46</v>
      </c>
      <c r="H6" s="7">
        <v>350</v>
      </c>
      <c r="I6" s="7">
        <v>200</v>
      </c>
      <c r="J6" s="7" t="s">
        <v>43</v>
      </c>
      <c r="K6" t="s">
        <v>47</v>
      </c>
    </row>
    <row r="7" spans="1:11" x14ac:dyDescent="0.25">
      <c r="A7" s="7">
        <v>10</v>
      </c>
      <c r="B7" s="7">
        <v>20</v>
      </c>
      <c r="C7" s="7">
        <v>2025</v>
      </c>
      <c r="D7" s="7" t="s">
        <v>14</v>
      </c>
      <c r="E7" s="7">
        <v>20</v>
      </c>
      <c r="F7" s="14" t="s">
        <v>27</v>
      </c>
      <c r="G7" s="7" t="s">
        <v>42</v>
      </c>
      <c r="H7" s="7">
        <v>350</v>
      </c>
      <c r="I7" s="7">
        <v>200</v>
      </c>
      <c r="J7" s="7" t="s">
        <v>43</v>
      </c>
      <c r="K7" t="s">
        <v>48</v>
      </c>
    </row>
    <row r="8" spans="1:11" x14ac:dyDescent="0.25">
      <c r="A8" s="7">
        <v>10</v>
      </c>
      <c r="B8" s="7">
        <v>21</v>
      </c>
      <c r="C8" s="7">
        <v>2025</v>
      </c>
      <c r="D8" s="7" t="s">
        <v>14</v>
      </c>
      <c r="E8" s="7">
        <v>21</v>
      </c>
      <c r="F8" s="14" t="s">
        <v>118</v>
      </c>
      <c r="G8" s="7" t="s">
        <v>119</v>
      </c>
      <c r="H8" s="7">
        <v>350</v>
      </c>
      <c r="I8" s="7">
        <v>190</v>
      </c>
      <c r="J8" s="7" t="s">
        <v>43</v>
      </c>
      <c r="K8" t="s">
        <v>120</v>
      </c>
    </row>
    <row r="9" spans="1:11" x14ac:dyDescent="0.25">
      <c r="A9" s="7">
        <v>10</v>
      </c>
      <c r="B9" s="7">
        <v>21</v>
      </c>
      <c r="C9" s="7">
        <v>2025</v>
      </c>
      <c r="D9" s="7" t="s">
        <v>14</v>
      </c>
      <c r="E9" s="7">
        <v>21</v>
      </c>
      <c r="F9" s="14" t="s">
        <v>55</v>
      </c>
      <c r="G9" s="7" t="s">
        <v>121</v>
      </c>
      <c r="H9" s="7">
        <v>350</v>
      </c>
      <c r="I9" s="7">
        <v>190</v>
      </c>
      <c r="J9" s="7" t="s">
        <v>43</v>
      </c>
      <c r="K9" t="s">
        <v>122</v>
      </c>
    </row>
    <row r="10" spans="1:11" x14ac:dyDescent="0.25">
      <c r="A10" s="7">
        <v>10</v>
      </c>
      <c r="B10" s="7">
        <v>21</v>
      </c>
      <c r="C10" s="7">
        <v>2025</v>
      </c>
      <c r="D10" s="7" t="s">
        <v>14</v>
      </c>
      <c r="E10" s="7">
        <v>21</v>
      </c>
      <c r="F10" s="14" t="s">
        <v>113</v>
      </c>
      <c r="G10" s="7" t="s">
        <v>114</v>
      </c>
      <c r="H10" s="7">
        <v>350</v>
      </c>
      <c r="I10" s="7">
        <v>190</v>
      </c>
      <c r="J10" s="7" t="s">
        <v>43</v>
      </c>
      <c r="K10" t="s">
        <v>115</v>
      </c>
    </row>
    <row r="11" spans="1:11" x14ac:dyDescent="0.25">
      <c r="A11" s="7">
        <v>10</v>
      </c>
      <c r="B11" s="7">
        <v>21</v>
      </c>
      <c r="C11" s="7">
        <v>2025</v>
      </c>
      <c r="D11" s="7" t="s">
        <v>14</v>
      </c>
      <c r="E11" s="7">
        <v>21</v>
      </c>
      <c r="F11" s="14" t="s">
        <v>116</v>
      </c>
      <c r="G11" s="7" t="s">
        <v>117</v>
      </c>
      <c r="H11" s="7">
        <v>350</v>
      </c>
      <c r="I11" s="7">
        <v>190</v>
      </c>
      <c r="J11" s="7" t="s">
        <v>43</v>
      </c>
      <c r="K11" t="s">
        <v>77</v>
      </c>
    </row>
    <row r="12" spans="1:11" x14ac:dyDescent="0.25">
      <c r="A12" s="7">
        <v>10</v>
      </c>
      <c r="B12" s="7">
        <v>22</v>
      </c>
      <c r="C12" s="7">
        <v>2025</v>
      </c>
      <c r="D12" s="7" t="s">
        <v>14</v>
      </c>
      <c r="E12" s="7">
        <v>22</v>
      </c>
      <c r="F12" s="14" t="s">
        <v>104</v>
      </c>
      <c r="G12" s="7" t="s">
        <v>105</v>
      </c>
      <c r="H12" s="7">
        <v>350</v>
      </c>
      <c r="I12" s="7">
        <v>240</v>
      </c>
      <c r="J12" s="7" t="s">
        <v>43</v>
      </c>
      <c r="K12" t="s">
        <v>106</v>
      </c>
    </row>
    <row r="13" spans="1:11" x14ac:dyDescent="0.25">
      <c r="A13" s="7">
        <v>10</v>
      </c>
      <c r="B13" s="7">
        <v>22</v>
      </c>
      <c r="C13" s="7">
        <v>2025</v>
      </c>
      <c r="D13" s="7" t="s">
        <v>14</v>
      </c>
      <c r="E13" s="7">
        <v>22</v>
      </c>
      <c r="F13" s="14" t="s">
        <v>95</v>
      </c>
      <c r="G13" s="7" t="s">
        <v>96</v>
      </c>
      <c r="H13" s="7">
        <v>350</v>
      </c>
      <c r="I13" s="7">
        <v>240</v>
      </c>
      <c r="J13" s="7" t="s">
        <v>43</v>
      </c>
      <c r="K13" t="s">
        <v>97</v>
      </c>
    </row>
    <row r="14" spans="1:11" x14ac:dyDescent="0.25">
      <c r="A14" s="7">
        <v>10</v>
      </c>
      <c r="B14" s="7">
        <v>22</v>
      </c>
      <c r="C14" s="7">
        <v>2025</v>
      </c>
      <c r="D14" s="7" t="s">
        <v>14</v>
      </c>
      <c r="E14" s="7">
        <v>22</v>
      </c>
      <c r="F14" s="14" t="s">
        <v>101</v>
      </c>
      <c r="G14" s="7" t="s">
        <v>102</v>
      </c>
      <c r="H14" s="7">
        <v>350</v>
      </c>
      <c r="I14" s="7">
        <v>240</v>
      </c>
      <c r="J14" s="7" t="s">
        <v>43</v>
      </c>
      <c r="K14" t="s">
        <v>103</v>
      </c>
    </row>
    <row r="15" spans="1:11" x14ac:dyDescent="0.25">
      <c r="A15" s="7">
        <v>10</v>
      </c>
      <c r="B15" s="7">
        <v>22</v>
      </c>
      <c r="C15" s="7">
        <v>2025</v>
      </c>
      <c r="D15" s="7" t="s">
        <v>14</v>
      </c>
      <c r="E15" s="7">
        <v>22</v>
      </c>
      <c r="F15" s="14" t="s">
        <v>98</v>
      </c>
      <c r="G15" s="7" t="s">
        <v>100</v>
      </c>
      <c r="H15" s="7">
        <v>350</v>
      </c>
      <c r="I15" s="7">
        <v>240</v>
      </c>
      <c r="J15" s="7" t="s">
        <v>43</v>
      </c>
      <c r="K15" t="s">
        <v>99</v>
      </c>
    </row>
    <row r="16" spans="1:11" x14ac:dyDescent="0.25">
      <c r="A16" s="7">
        <v>10</v>
      </c>
      <c r="B16" s="7">
        <v>23</v>
      </c>
      <c r="C16" s="7">
        <v>2025</v>
      </c>
      <c r="D16" s="7" t="s">
        <v>14</v>
      </c>
      <c r="E16" s="7">
        <v>23</v>
      </c>
      <c r="F16" s="14" t="s">
        <v>68</v>
      </c>
      <c r="G16" s="7" t="s">
        <v>80</v>
      </c>
      <c r="H16" s="7">
        <v>350</v>
      </c>
      <c r="I16" s="7">
        <v>180</v>
      </c>
      <c r="J16" s="7" t="s">
        <v>43</v>
      </c>
      <c r="K16" t="s">
        <v>81</v>
      </c>
    </row>
    <row r="17" spans="1:13" x14ac:dyDescent="0.25">
      <c r="A17" s="7">
        <v>10</v>
      </c>
      <c r="B17" s="7">
        <v>23</v>
      </c>
      <c r="C17" s="7">
        <v>2025</v>
      </c>
      <c r="D17" s="7" t="s">
        <v>14</v>
      </c>
      <c r="E17" s="7">
        <v>23</v>
      </c>
      <c r="F17" s="14" t="s">
        <v>78</v>
      </c>
      <c r="G17" s="7" t="s">
        <v>85</v>
      </c>
      <c r="H17" s="7">
        <v>350</v>
      </c>
      <c r="I17" s="7">
        <v>180</v>
      </c>
      <c r="J17" s="7" t="s">
        <v>43</v>
      </c>
      <c r="K17" t="s">
        <v>79</v>
      </c>
    </row>
    <row r="18" spans="1:13" x14ac:dyDescent="0.25">
      <c r="A18" s="7">
        <v>10</v>
      </c>
      <c r="B18" s="7">
        <v>23</v>
      </c>
      <c r="C18" s="7">
        <v>2025</v>
      </c>
      <c r="D18" s="7" t="s">
        <v>14</v>
      </c>
      <c r="E18" s="7">
        <v>23</v>
      </c>
      <c r="F18" s="14" t="s">
        <v>73</v>
      </c>
      <c r="G18" s="7" t="s">
        <v>76</v>
      </c>
      <c r="H18" s="7">
        <v>350</v>
      </c>
      <c r="I18" s="7">
        <v>180</v>
      </c>
      <c r="J18" s="7" t="s">
        <v>43</v>
      </c>
      <c r="K18" t="s">
        <v>77</v>
      </c>
    </row>
    <row r="19" spans="1:13" x14ac:dyDescent="0.25">
      <c r="A19" s="7">
        <v>10</v>
      </c>
      <c r="B19" s="7">
        <v>23</v>
      </c>
      <c r="C19" s="7">
        <v>2025</v>
      </c>
      <c r="D19" s="7" t="s">
        <v>14</v>
      </c>
      <c r="E19" s="7">
        <v>23</v>
      </c>
      <c r="F19" s="14" t="s">
        <v>82</v>
      </c>
      <c r="G19" s="7" t="s">
        <v>84</v>
      </c>
      <c r="H19" s="7">
        <v>350</v>
      </c>
      <c r="I19" s="7">
        <v>180</v>
      </c>
      <c r="J19" s="7" t="s">
        <v>43</v>
      </c>
      <c r="K19" t="s">
        <v>83</v>
      </c>
    </row>
    <row r="20" spans="1:13" x14ac:dyDescent="0.25">
      <c r="A20" s="7">
        <v>10</v>
      </c>
      <c r="B20" s="7">
        <v>24</v>
      </c>
      <c r="C20" s="7">
        <v>2025</v>
      </c>
      <c r="D20" s="7" t="s">
        <v>14</v>
      </c>
      <c r="E20" s="7">
        <v>24</v>
      </c>
      <c r="F20" s="14" t="s">
        <v>90</v>
      </c>
      <c r="G20" s="7" t="s">
        <v>91</v>
      </c>
      <c r="H20" s="7">
        <v>350</v>
      </c>
      <c r="I20" s="7">
        <v>170</v>
      </c>
      <c r="J20" s="7" t="s">
        <v>43</v>
      </c>
      <c r="K20" t="s">
        <v>92</v>
      </c>
    </row>
    <row r="21" spans="1:13" x14ac:dyDescent="0.25">
      <c r="A21" s="7">
        <v>10</v>
      </c>
      <c r="B21" s="7">
        <v>24</v>
      </c>
      <c r="C21" s="7">
        <v>2025</v>
      </c>
      <c r="D21" s="7" t="s">
        <v>14</v>
      </c>
      <c r="E21" s="7">
        <v>24</v>
      </c>
      <c r="F21" s="14" t="s">
        <v>110</v>
      </c>
      <c r="G21" s="7" t="s">
        <v>88</v>
      </c>
      <c r="H21" s="7">
        <v>350</v>
      </c>
      <c r="I21" s="7">
        <v>170</v>
      </c>
      <c r="J21" s="7" t="s">
        <v>43</v>
      </c>
      <c r="K21" t="s">
        <v>89</v>
      </c>
    </row>
    <row r="22" spans="1:13" x14ac:dyDescent="0.25">
      <c r="A22" s="7">
        <v>10</v>
      </c>
      <c r="B22" s="7">
        <v>24</v>
      </c>
      <c r="C22" s="7">
        <v>2025</v>
      </c>
      <c r="D22" s="7" t="s">
        <v>14</v>
      </c>
      <c r="E22" s="7">
        <v>24</v>
      </c>
      <c r="F22" s="14" t="s">
        <v>109</v>
      </c>
      <c r="G22" s="7" t="s">
        <v>93</v>
      </c>
      <c r="H22" s="7">
        <v>350</v>
      </c>
      <c r="I22" s="7">
        <v>170</v>
      </c>
      <c r="J22" s="7" t="s">
        <v>43</v>
      </c>
      <c r="K22" t="s">
        <v>89</v>
      </c>
    </row>
    <row r="23" spans="1:13" x14ac:dyDescent="0.25">
      <c r="A23" s="7">
        <v>10</v>
      </c>
      <c r="B23" s="7">
        <v>24</v>
      </c>
      <c r="C23" s="7">
        <v>2025</v>
      </c>
      <c r="D23" s="7" t="s">
        <v>14</v>
      </c>
      <c r="E23" s="7">
        <v>24</v>
      </c>
      <c r="F23" s="15" t="s">
        <v>111</v>
      </c>
      <c r="G23" s="7" t="s">
        <v>112</v>
      </c>
      <c r="H23" s="7">
        <v>350</v>
      </c>
      <c r="I23" s="7">
        <v>170</v>
      </c>
      <c r="J23" s="7" t="s">
        <v>43</v>
      </c>
      <c r="K23" t="s">
        <v>94</v>
      </c>
    </row>
    <row r="30" spans="1:13" x14ac:dyDescent="0.25">
      <c r="A30" s="6"/>
    </row>
    <row r="32" spans="1:13" s="8" customFormat="1" x14ac:dyDescent="0.25">
      <c r="A32" s="6"/>
      <c r="B32" s="6"/>
      <c r="C32" s="6"/>
      <c r="D32" s="6"/>
      <c r="E32" s="6"/>
      <c r="F32" s="16"/>
      <c r="G32" s="6"/>
      <c r="H32" s="6"/>
      <c r="I32" s="6"/>
      <c r="J32" s="6"/>
      <c r="L32" s="16"/>
      <c r="M32" s="16"/>
    </row>
    <row r="33" spans="1:6" x14ac:dyDescent="0.25">
      <c r="A33" s="10"/>
      <c r="E33" s="17"/>
      <c r="F33" s="15"/>
    </row>
    <row r="34" spans="1:6" x14ac:dyDescent="0.25">
      <c r="A34" s="10"/>
      <c r="E34" s="17"/>
      <c r="F34" s="15"/>
    </row>
    <row r="35" spans="1:6" x14ac:dyDescent="0.25">
      <c r="A35" s="10"/>
      <c r="E35" s="17"/>
      <c r="F35" s="15"/>
    </row>
    <row r="36" spans="1:6" x14ac:dyDescent="0.25">
      <c r="A36" s="10"/>
      <c r="E36" s="17"/>
      <c r="F36" s="15"/>
    </row>
    <row r="37" spans="1:6" x14ac:dyDescent="0.25">
      <c r="A37" s="10"/>
      <c r="E37" s="17"/>
      <c r="F37" s="15"/>
    </row>
    <row r="38" spans="1:6" x14ac:dyDescent="0.25">
      <c r="A38" s="10"/>
      <c r="E38" s="17"/>
      <c r="F38" s="15"/>
    </row>
    <row r="39" spans="1:6" x14ac:dyDescent="0.25">
      <c r="A39" s="10"/>
      <c r="E39" s="17"/>
      <c r="F39" s="15"/>
    </row>
    <row r="40" spans="1:6" x14ac:dyDescent="0.25">
      <c r="A40" s="10"/>
      <c r="E40" s="17"/>
      <c r="F40" s="15"/>
    </row>
    <row r="41" spans="1:6" x14ac:dyDescent="0.25">
      <c r="A41" s="10"/>
      <c r="E41" s="17"/>
      <c r="F41" s="15"/>
    </row>
    <row r="42" spans="1:6" x14ac:dyDescent="0.25">
      <c r="A42" s="10"/>
      <c r="E42" s="17"/>
      <c r="F42" s="15"/>
    </row>
    <row r="43" spans="1:6" x14ac:dyDescent="0.25">
      <c r="A43" s="10"/>
      <c r="E43" s="17"/>
      <c r="F43" s="15"/>
    </row>
    <row r="44" spans="1:6" x14ac:dyDescent="0.25">
      <c r="A44" s="10"/>
      <c r="E44" s="17"/>
      <c r="F44" s="15"/>
    </row>
    <row r="45" spans="1:6" x14ac:dyDescent="0.25">
      <c r="A45" s="10"/>
      <c r="E45" s="17"/>
      <c r="F45" s="15"/>
    </row>
    <row r="46" spans="1:6" x14ac:dyDescent="0.25">
      <c r="A46" s="10"/>
      <c r="E46" s="17"/>
      <c r="F46" s="15"/>
    </row>
    <row r="47" spans="1:6" x14ac:dyDescent="0.25">
      <c r="A47" s="10"/>
      <c r="E47" s="17"/>
      <c r="F47" s="15"/>
    </row>
    <row r="48" spans="1:6" x14ac:dyDescent="0.25">
      <c r="A48" s="10"/>
      <c r="E48" s="17"/>
      <c r="F48" s="15"/>
    </row>
    <row r="49" spans="1:6" x14ac:dyDescent="0.25">
      <c r="A49" s="10"/>
      <c r="E49" s="17"/>
      <c r="F49" s="15"/>
    </row>
    <row r="50" spans="1:6" x14ac:dyDescent="0.25">
      <c r="A50" s="10"/>
      <c r="E50" s="17"/>
      <c r="F50" s="15"/>
    </row>
    <row r="51" spans="1:6" x14ac:dyDescent="0.25">
      <c r="A51" s="10"/>
      <c r="E51" s="17"/>
    </row>
    <row r="52" spans="1:6" x14ac:dyDescent="0.25">
      <c r="A52" s="10"/>
      <c r="E52" s="17"/>
    </row>
    <row r="53" spans="1:6" x14ac:dyDescent="0.25">
      <c r="E53" s="17"/>
      <c r="F53" s="15"/>
    </row>
  </sheetData>
  <autoFilter ref="A3:K23" xr:uid="{98FABB24-577F-4F8F-8DDD-4DA250818A2D}">
    <sortState xmlns:xlrd2="http://schemas.microsoft.com/office/spreadsheetml/2017/richdata2" ref="A4:K23">
      <sortCondition ref="B4:B23"/>
      <sortCondition ref="F4:F2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FD4F-1A73-435B-9EB0-C5B97F94868E}">
  <dimension ref="A2:S8"/>
  <sheetViews>
    <sheetView workbookViewId="0">
      <selection activeCell="B4" sqref="B4"/>
    </sheetView>
  </sheetViews>
  <sheetFormatPr defaultRowHeight="15" x14ac:dyDescent="0.25"/>
  <cols>
    <col min="6" max="6" width="12" bestFit="1" customWidth="1"/>
    <col min="7" max="7" width="19.140625" bestFit="1" customWidth="1"/>
    <col min="17" max="17" width="12.140625" bestFit="1" customWidth="1"/>
    <col min="18" max="18" width="9.140625" style="9"/>
  </cols>
  <sheetData>
    <row r="2" spans="1:19" x14ac:dyDescent="0.25">
      <c r="S2" s="9"/>
    </row>
    <row r="3" spans="1:19" x14ac:dyDescent="0.25">
      <c r="A3" s="9"/>
      <c r="B3" s="19" t="s">
        <v>127</v>
      </c>
      <c r="C3" s="19"/>
      <c r="D3" s="19"/>
      <c r="E3" s="19"/>
      <c r="F3" s="19"/>
      <c r="G3" s="19"/>
      <c r="H3" s="20"/>
      <c r="S3" s="9"/>
    </row>
    <row r="4" spans="1:19" x14ac:dyDescent="0.25">
      <c r="A4" s="9"/>
      <c r="B4" s="21" t="s">
        <v>1</v>
      </c>
      <c r="C4" s="19" t="s">
        <v>2</v>
      </c>
      <c r="D4" s="19" t="s">
        <v>12</v>
      </c>
      <c r="E4" s="19" t="s">
        <v>128</v>
      </c>
      <c r="F4" s="19" t="s">
        <v>129</v>
      </c>
      <c r="G4" s="19" t="s">
        <v>130</v>
      </c>
      <c r="H4" s="20"/>
      <c r="I4" s="18"/>
      <c r="S4" s="9"/>
    </row>
    <row r="5" spans="1:19" x14ac:dyDescent="0.25">
      <c r="A5" s="9"/>
      <c r="B5" s="19" t="s">
        <v>78</v>
      </c>
      <c r="C5" s="19">
        <v>3.27</v>
      </c>
      <c r="D5" s="19">
        <v>2.1935479999999998</v>
      </c>
      <c r="E5" s="19">
        <v>2.52</v>
      </c>
      <c r="F5" s="19">
        <v>28.34</v>
      </c>
      <c r="G5" s="19">
        <v>885.18518518518511</v>
      </c>
      <c r="H5" s="20"/>
      <c r="I5" s="9"/>
      <c r="M5" s="9"/>
    </row>
    <row r="6" spans="1:19" x14ac:dyDescent="0.25">
      <c r="A6" s="9"/>
      <c r="B6" s="19" t="s">
        <v>86</v>
      </c>
      <c r="C6" s="19">
        <v>2.23</v>
      </c>
      <c r="D6" s="19">
        <v>2.4</v>
      </c>
      <c r="E6" s="19">
        <v>2.558824</v>
      </c>
      <c r="F6" s="19">
        <v>19.930555555555557</v>
      </c>
      <c r="G6" s="19">
        <v>364.92307692307702</v>
      </c>
      <c r="H6" s="20"/>
      <c r="I6" s="9"/>
    </row>
    <row r="7" spans="1:19" x14ac:dyDescent="0.25">
      <c r="A7" s="9"/>
      <c r="B7" s="19" t="s">
        <v>87</v>
      </c>
      <c r="C7" s="19">
        <v>3.06</v>
      </c>
      <c r="D7" s="19">
        <v>2.5882350000000001</v>
      </c>
      <c r="E7" s="19">
        <v>2.73333</v>
      </c>
      <c r="F7" s="19">
        <v>30</v>
      </c>
      <c r="G7" s="19">
        <v>612.33333333333337</v>
      </c>
      <c r="H7" s="20"/>
      <c r="I7" s="9"/>
    </row>
    <row r="8" spans="1:19" x14ac:dyDescent="0.25">
      <c r="B8" s="22"/>
      <c r="C8" s="20"/>
      <c r="D8" s="20"/>
      <c r="E8" s="19"/>
      <c r="F8" s="20"/>
      <c r="G8" s="20"/>
      <c r="H8" s="20"/>
    </row>
  </sheetData>
  <pageMargins left="0.70866141732283472" right="0.70866141732283472" top="0.74803149606299213" bottom="0.74803149606299213" header="0.31496062992125984" footer="0.31496062992125984"/>
  <pageSetup scale="13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6A04-35F7-48BE-96B4-AF8E4040A26D}">
  <dimension ref="A1:G24"/>
  <sheetViews>
    <sheetView topLeftCell="A7" workbookViewId="0">
      <selection activeCell="K20" sqref="K20"/>
    </sheetView>
  </sheetViews>
  <sheetFormatPr defaultRowHeight="15" x14ac:dyDescent="0.25"/>
  <cols>
    <col min="1" max="1" width="10.7109375" style="5" bestFit="1" customWidth="1"/>
    <col min="2" max="4" width="9.140625" style="9"/>
  </cols>
  <sheetData>
    <row r="1" spans="1:7" x14ac:dyDescent="0.25">
      <c r="B1" s="12" t="s">
        <v>28</v>
      </c>
      <c r="C1" s="12" t="s">
        <v>29</v>
      </c>
      <c r="D1" s="12" t="s">
        <v>31</v>
      </c>
    </row>
    <row r="2" spans="1:7" x14ac:dyDescent="0.25">
      <c r="B2" s="9" t="s">
        <v>78</v>
      </c>
      <c r="C2" s="9" t="s">
        <v>86</v>
      </c>
      <c r="D2" s="9" t="s">
        <v>87</v>
      </c>
      <c r="F2" s="3"/>
      <c r="G2" s="3"/>
    </row>
    <row r="3" spans="1:7" x14ac:dyDescent="0.25">
      <c r="A3" s="5">
        <v>45950</v>
      </c>
      <c r="B3" s="9">
        <v>3.3888889999999998</v>
      </c>
      <c r="C3" s="9">
        <v>1.8416669999999999</v>
      </c>
      <c r="D3" s="9">
        <v>2.6666669999999999</v>
      </c>
    </row>
    <row r="4" spans="1:7" x14ac:dyDescent="0.25">
      <c r="A4" s="5">
        <v>45951</v>
      </c>
      <c r="B4" s="9">
        <v>3</v>
      </c>
      <c r="C4" s="9">
        <v>1.476923</v>
      </c>
    </row>
    <row r="5" spans="1:7" x14ac:dyDescent="0.25">
      <c r="A5" s="5">
        <v>45952</v>
      </c>
      <c r="B5" s="9">
        <v>3</v>
      </c>
      <c r="C5" s="9">
        <v>2.75</v>
      </c>
      <c r="D5" s="9">
        <v>4.5</v>
      </c>
    </row>
    <row r="6" spans="1:7" x14ac:dyDescent="0.25">
      <c r="A6" s="5">
        <v>45953</v>
      </c>
      <c r="B6" s="9">
        <v>4</v>
      </c>
      <c r="C6" s="9">
        <v>3.4285709999999998</v>
      </c>
      <c r="D6" s="9">
        <v>2</v>
      </c>
    </row>
    <row r="7" spans="1:7" x14ac:dyDescent="0.25">
      <c r="A7" s="5">
        <v>45954</v>
      </c>
      <c r="B7" s="9">
        <v>2.8333330000000001</v>
      </c>
      <c r="C7" s="9">
        <v>3.25</v>
      </c>
      <c r="D7" s="9">
        <v>3</v>
      </c>
    </row>
    <row r="10" spans="1:7" x14ac:dyDescent="0.25">
      <c r="A10" s="6"/>
      <c r="B10" s="13"/>
      <c r="C10" s="13"/>
      <c r="D10" s="13"/>
    </row>
    <row r="11" spans="1:7" x14ac:dyDescent="0.25">
      <c r="A11"/>
    </row>
    <row r="12" spans="1:7" x14ac:dyDescent="0.25">
      <c r="A12"/>
    </row>
    <row r="13" spans="1:7" x14ac:dyDescent="0.25">
      <c r="A13"/>
    </row>
    <row r="14" spans="1:7" x14ac:dyDescent="0.25">
      <c r="A14"/>
    </row>
    <row r="15" spans="1:7" x14ac:dyDescent="0.25">
      <c r="A15"/>
    </row>
    <row r="16" spans="1:7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9FF7-D4E2-4363-A0F8-EA2D868B4DF0}">
  <dimension ref="A1:J90"/>
  <sheetViews>
    <sheetView topLeftCell="A10" workbookViewId="0">
      <selection activeCell="L28" sqref="L28"/>
    </sheetView>
  </sheetViews>
  <sheetFormatPr defaultRowHeight="15" x14ac:dyDescent="0.25"/>
  <cols>
    <col min="1" max="1" width="7.42578125" customWidth="1"/>
    <col min="7" max="7" width="10.7109375" style="3" customWidth="1"/>
    <col min="9" max="9" width="12.140625" bestFit="1" customWidth="1"/>
    <col min="10" max="10" width="11" bestFit="1" customWidth="1"/>
  </cols>
  <sheetData>
    <row r="1" spans="1:10" x14ac:dyDescent="0.25">
      <c r="A1" t="s">
        <v>126</v>
      </c>
      <c r="J1" s="1"/>
    </row>
    <row r="2" spans="1:10" x14ac:dyDescent="0.25">
      <c r="J2" s="1"/>
    </row>
    <row r="3" spans="1:10" x14ac:dyDescent="0.25">
      <c r="A3" s="5"/>
      <c r="B3" s="9" t="s">
        <v>78</v>
      </c>
      <c r="C3" s="9" t="s">
        <v>86</v>
      </c>
      <c r="D3" s="9" t="s">
        <v>87</v>
      </c>
      <c r="J3" s="1"/>
    </row>
    <row r="4" spans="1:10" x14ac:dyDescent="0.25">
      <c r="A4" s="3">
        <v>0</v>
      </c>
      <c r="B4" s="9"/>
      <c r="C4" s="9">
        <v>1</v>
      </c>
      <c r="D4" s="9">
        <v>1</v>
      </c>
      <c r="J4" s="1"/>
    </row>
    <row r="5" spans="1:10" x14ac:dyDescent="0.25">
      <c r="A5" s="3">
        <v>50</v>
      </c>
      <c r="B5" s="9">
        <v>1.25</v>
      </c>
      <c r="C5" s="9">
        <v>1.5</v>
      </c>
      <c r="D5" s="9"/>
      <c r="J5" s="1"/>
    </row>
    <row r="6" spans="1:10" x14ac:dyDescent="0.25">
      <c r="A6" s="3">
        <v>100</v>
      </c>
      <c r="B6" s="9"/>
      <c r="C6" s="9">
        <v>1.0249999999999999</v>
      </c>
      <c r="D6" s="9"/>
      <c r="J6" s="1"/>
    </row>
    <row r="7" spans="1:10" x14ac:dyDescent="0.25">
      <c r="A7" s="3">
        <v>150</v>
      </c>
      <c r="B7" s="9">
        <v>4</v>
      </c>
      <c r="C7" s="9"/>
      <c r="D7" s="9"/>
      <c r="J7" s="1"/>
    </row>
    <row r="8" spans="1:10" x14ac:dyDescent="0.25">
      <c r="A8" s="3">
        <v>200</v>
      </c>
      <c r="B8" s="9">
        <v>4</v>
      </c>
      <c r="C8" s="9">
        <v>4</v>
      </c>
      <c r="D8" s="9">
        <v>3.5</v>
      </c>
      <c r="J8" s="1"/>
    </row>
    <row r="9" spans="1:10" x14ac:dyDescent="0.25">
      <c r="A9" s="3">
        <v>250</v>
      </c>
      <c r="B9" s="9">
        <v>4</v>
      </c>
      <c r="C9" s="9">
        <v>1</v>
      </c>
      <c r="J9" s="1"/>
    </row>
    <row r="10" spans="1:10" x14ac:dyDescent="0.25">
      <c r="J10" s="1"/>
    </row>
    <row r="11" spans="1:10" x14ac:dyDescent="0.25">
      <c r="J11" s="1"/>
    </row>
    <row r="12" spans="1:10" x14ac:dyDescent="0.25">
      <c r="J12" s="1"/>
    </row>
    <row r="13" spans="1:10" x14ac:dyDescent="0.25">
      <c r="J13" s="1"/>
    </row>
    <row r="14" spans="1:10" x14ac:dyDescent="0.25">
      <c r="J14" s="1"/>
    </row>
    <row r="15" spans="1:10" x14ac:dyDescent="0.25">
      <c r="J15" s="1"/>
    </row>
    <row r="16" spans="1:10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  <row r="30" spans="10:10" x14ac:dyDescent="0.25">
      <c r="J30" s="1"/>
    </row>
    <row r="31" spans="10:10" x14ac:dyDescent="0.25">
      <c r="J31" s="1"/>
    </row>
    <row r="32" spans="10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  <row r="71" spans="10:10" x14ac:dyDescent="0.25">
      <c r="J71" s="1"/>
    </row>
    <row r="72" spans="10:10" x14ac:dyDescent="0.25">
      <c r="J72" s="1"/>
    </row>
    <row r="73" spans="10:10" x14ac:dyDescent="0.25">
      <c r="J73" s="1"/>
    </row>
    <row r="74" spans="10:10" x14ac:dyDescent="0.25">
      <c r="J74" s="1"/>
    </row>
    <row r="75" spans="10:10" x14ac:dyDescent="0.25">
      <c r="J75" s="1"/>
    </row>
    <row r="76" spans="10:10" x14ac:dyDescent="0.25">
      <c r="J76" s="1"/>
    </row>
    <row r="77" spans="10:10" x14ac:dyDescent="0.25">
      <c r="J77" s="1"/>
    </row>
    <row r="78" spans="10:10" x14ac:dyDescent="0.25">
      <c r="J78" s="1"/>
    </row>
    <row r="79" spans="10:10" x14ac:dyDescent="0.25">
      <c r="J79" s="1"/>
    </row>
    <row r="80" spans="10:10" x14ac:dyDescent="0.25">
      <c r="J80" s="1"/>
    </row>
    <row r="81" spans="10:10" x14ac:dyDescent="0.25">
      <c r="J81" s="1"/>
    </row>
    <row r="82" spans="10:10" x14ac:dyDescent="0.25">
      <c r="J82" s="1"/>
    </row>
    <row r="83" spans="10:10" x14ac:dyDescent="0.25">
      <c r="J83" s="1"/>
    </row>
    <row r="84" spans="10:10" x14ac:dyDescent="0.25">
      <c r="J84" s="1"/>
    </row>
    <row r="85" spans="10:10" x14ac:dyDescent="0.25">
      <c r="J85" s="1"/>
    </row>
    <row r="86" spans="10:10" x14ac:dyDescent="0.25">
      <c r="J86" s="1"/>
    </row>
    <row r="87" spans="10:10" x14ac:dyDescent="0.25">
      <c r="J87" s="1"/>
    </row>
    <row r="88" spans="10:10" x14ac:dyDescent="0.25">
      <c r="J88" s="1"/>
    </row>
    <row r="89" spans="10:10" x14ac:dyDescent="0.25">
      <c r="J89" s="1"/>
    </row>
    <row r="90" spans="10:10" x14ac:dyDescent="0.25">
      <c r="J90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3179-134E-48CF-B19E-8BAFE9963C9A}">
  <dimension ref="A1:D6"/>
  <sheetViews>
    <sheetView workbookViewId="0">
      <selection activeCell="J16" sqref="J16"/>
    </sheetView>
  </sheetViews>
  <sheetFormatPr defaultRowHeight="15" x14ac:dyDescent="0.25"/>
  <cols>
    <col min="1" max="1" width="10.7109375" bestFit="1" customWidth="1"/>
  </cols>
  <sheetData>
    <row r="1" spans="1:4" x14ac:dyDescent="0.25">
      <c r="A1" s="5"/>
      <c r="B1" s="9" t="s">
        <v>78</v>
      </c>
      <c r="C1" s="9" t="s">
        <v>86</v>
      </c>
      <c r="D1" s="9" t="s">
        <v>87</v>
      </c>
    </row>
    <row r="2" spans="1:4" x14ac:dyDescent="0.25">
      <c r="A2" s="5">
        <v>45950</v>
      </c>
      <c r="B2" s="9">
        <v>2.1111110000000002</v>
      </c>
      <c r="C2" s="9">
        <v>2.5</v>
      </c>
      <c r="D2" s="9">
        <v>3.3333330000000001</v>
      </c>
    </row>
    <row r="3" spans="1:4" x14ac:dyDescent="0.25">
      <c r="A3" s="5">
        <v>45951</v>
      </c>
      <c r="B3" s="9">
        <v>2.3333330000000001</v>
      </c>
      <c r="C3" s="9">
        <v>2.3076919999999999</v>
      </c>
      <c r="D3" s="9"/>
    </row>
    <row r="4" spans="1:4" x14ac:dyDescent="0.25">
      <c r="A4" s="5">
        <v>45952</v>
      </c>
      <c r="B4" s="9">
        <v>2</v>
      </c>
      <c r="C4" s="9">
        <v>2</v>
      </c>
      <c r="D4" s="9">
        <v>2</v>
      </c>
    </row>
    <row r="5" spans="1:4" x14ac:dyDescent="0.25">
      <c r="A5" s="5">
        <v>45953</v>
      </c>
      <c r="B5" s="9">
        <v>2</v>
      </c>
      <c r="C5" s="9">
        <v>2.285714</v>
      </c>
      <c r="D5" s="9">
        <v>3</v>
      </c>
    </row>
    <row r="6" spans="1:4" x14ac:dyDescent="0.25">
      <c r="A6" s="5">
        <v>45954</v>
      </c>
      <c r="B6" s="9">
        <v>2.5</v>
      </c>
      <c r="C6" s="9">
        <v>3</v>
      </c>
      <c r="D6" s="9">
        <v>2.4545400000000002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31EA-75B4-4780-A403-FA9D39B79DC0}">
  <dimension ref="A1:D6"/>
  <sheetViews>
    <sheetView workbookViewId="0">
      <selection activeCell="J19" sqref="J19"/>
    </sheetView>
  </sheetViews>
  <sheetFormatPr defaultRowHeight="15" x14ac:dyDescent="0.25"/>
  <cols>
    <col min="1" max="1" width="10.7109375" bestFit="1" customWidth="1"/>
  </cols>
  <sheetData>
    <row r="1" spans="1:4" x14ac:dyDescent="0.25">
      <c r="A1" s="5"/>
      <c r="B1" s="9" t="s">
        <v>78</v>
      </c>
      <c r="C1" s="9" t="s">
        <v>86</v>
      </c>
      <c r="D1" s="9" t="s">
        <v>87</v>
      </c>
    </row>
    <row r="2" spans="1:4" x14ac:dyDescent="0.25">
      <c r="A2" s="5">
        <v>45951</v>
      </c>
      <c r="B2" s="9">
        <v>3</v>
      </c>
      <c r="C2" s="9">
        <v>2.538462</v>
      </c>
      <c r="D2" s="9"/>
    </row>
    <row r="3" spans="1:4" x14ac:dyDescent="0.25">
      <c r="A3" s="5">
        <v>45952</v>
      </c>
      <c r="B3" s="9">
        <v>2</v>
      </c>
      <c r="C3" s="9">
        <v>1.5</v>
      </c>
      <c r="D3" s="9">
        <v>2</v>
      </c>
    </row>
    <row r="4" spans="1:4" x14ac:dyDescent="0.25">
      <c r="A4" s="5">
        <v>45953</v>
      </c>
      <c r="B4" s="9">
        <v>2.5</v>
      </c>
      <c r="C4" s="9">
        <v>3.4285709999999998</v>
      </c>
      <c r="D4" s="9">
        <v>3</v>
      </c>
    </row>
    <row r="5" spans="1:4" x14ac:dyDescent="0.25">
      <c r="A5" s="5">
        <v>45954</v>
      </c>
      <c r="B5" s="9">
        <v>2.6666669999999999</v>
      </c>
      <c r="C5" s="9">
        <v>2.5</v>
      </c>
      <c r="D5" s="9">
        <v>2.7272729999999998</v>
      </c>
    </row>
    <row r="6" spans="1:4" x14ac:dyDescent="0.25">
      <c r="D6" s="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3FA7-94CD-4E3E-9495-9990C92A9A27}">
  <dimension ref="A1:M6"/>
  <sheetViews>
    <sheetView workbookViewId="0">
      <selection activeCell="K15" sqref="K15"/>
    </sheetView>
  </sheetViews>
  <sheetFormatPr defaultRowHeight="15" x14ac:dyDescent="0.25"/>
  <cols>
    <col min="1" max="1" width="10.7109375" style="5" bestFit="1" customWidth="1"/>
    <col min="12" max="12" width="12.140625" bestFit="1" customWidth="1"/>
    <col min="13" max="13" width="9.140625" style="9"/>
  </cols>
  <sheetData>
    <row r="1" spans="1:4" x14ac:dyDescent="0.25">
      <c r="B1" s="3" t="s">
        <v>78</v>
      </c>
      <c r="C1" s="3" t="s">
        <v>86</v>
      </c>
      <c r="D1" t="s">
        <v>87</v>
      </c>
    </row>
    <row r="2" spans="1:4" x14ac:dyDescent="0.25">
      <c r="A2" s="5">
        <v>45950</v>
      </c>
      <c r="B2" s="9">
        <v>26</v>
      </c>
      <c r="C2" s="9">
        <v>16.899999999999999</v>
      </c>
    </row>
    <row r="3" spans="1:4" x14ac:dyDescent="0.25">
      <c r="A3" s="5">
        <v>45951</v>
      </c>
      <c r="B3" s="9">
        <v>20.9</v>
      </c>
      <c r="C3" s="9">
        <v>19.733333333333334</v>
      </c>
    </row>
    <row r="4" spans="1:4" x14ac:dyDescent="0.25">
      <c r="A4" s="5">
        <v>45952</v>
      </c>
      <c r="C4" s="9">
        <v>10.3</v>
      </c>
    </row>
    <row r="5" spans="1:4" x14ac:dyDescent="0.25">
      <c r="A5" s="5">
        <v>45953</v>
      </c>
      <c r="B5" s="9">
        <v>26.400000000000002</v>
      </c>
      <c r="C5" s="9">
        <v>26.475000000000001</v>
      </c>
    </row>
    <row r="6" spans="1:4" x14ac:dyDescent="0.25">
      <c r="A6" s="5">
        <v>45954</v>
      </c>
      <c r="B6" s="9">
        <v>34.099999999999994</v>
      </c>
      <c r="C6" s="9">
        <v>21.8</v>
      </c>
      <c r="D6" s="9">
        <v>30.75</v>
      </c>
    </row>
  </sheetData>
  <autoFilter ref="L1:L67" xr:uid="{CE4A3FA7-94CD-4E3E-9495-9990C92A9A27}">
    <sortState xmlns:xlrd2="http://schemas.microsoft.com/office/spreadsheetml/2017/richdata2" ref="L2:L67">
      <sortCondition ref="L1:L67"/>
    </sortState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F7FB-36C5-4549-8E89-8DBB21AD59E6}">
  <dimension ref="A1:M9"/>
  <sheetViews>
    <sheetView tabSelected="1" workbookViewId="0">
      <selection activeCell="K27" sqref="K27"/>
    </sheetView>
  </sheetViews>
  <sheetFormatPr defaultRowHeight="15" x14ac:dyDescent="0.25"/>
  <cols>
    <col min="1" max="1" width="10.7109375" bestFit="1" customWidth="1"/>
    <col min="11" max="11" width="10.7109375" style="3" customWidth="1"/>
    <col min="12" max="12" width="12.140625" bestFit="1" customWidth="1"/>
  </cols>
  <sheetData>
    <row r="1" spans="1:13" x14ac:dyDescent="0.25">
      <c r="A1" s="5"/>
      <c r="B1" t="s">
        <v>78</v>
      </c>
      <c r="C1" s="3" t="s">
        <v>86</v>
      </c>
      <c r="D1" t="s">
        <v>87</v>
      </c>
      <c r="M1" s="9"/>
    </row>
    <row r="2" spans="1:13" x14ac:dyDescent="0.25">
      <c r="A2" s="5">
        <v>45951</v>
      </c>
      <c r="B2" s="9">
        <v>316.66666666666669</v>
      </c>
      <c r="C2" s="9">
        <v>169.33333333333334</v>
      </c>
      <c r="M2" s="9"/>
    </row>
    <row r="3" spans="1:13" x14ac:dyDescent="0.25">
      <c r="A3" s="5">
        <v>45952</v>
      </c>
      <c r="C3" s="9">
        <v>200</v>
      </c>
      <c r="M3" s="9"/>
    </row>
    <row r="4" spans="1:13" x14ac:dyDescent="0.25">
      <c r="A4" s="5">
        <v>45953</v>
      </c>
      <c r="B4" s="9">
        <v>1044.4444444444443</v>
      </c>
      <c r="C4" s="9">
        <v>640.33333333333337</v>
      </c>
      <c r="M4" s="9"/>
    </row>
    <row r="5" spans="1:13" x14ac:dyDescent="0.25">
      <c r="A5" s="5">
        <v>45954</v>
      </c>
      <c r="B5" s="9">
        <v>1050</v>
      </c>
      <c r="C5" s="9">
        <v>766.66666666666674</v>
      </c>
      <c r="D5" s="9">
        <v>612.33333333333337</v>
      </c>
      <c r="M5" s="9"/>
    </row>
    <row r="6" spans="1:13" x14ac:dyDescent="0.25">
      <c r="A6" s="5"/>
      <c r="M6" s="9"/>
    </row>
    <row r="7" spans="1:13" x14ac:dyDescent="0.25">
      <c r="M7" s="9"/>
    </row>
    <row r="8" spans="1:13" x14ac:dyDescent="0.25">
      <c r="M8" s="9"/>
    </row>
    <row r="9" spans="1:13" x14ac:dyDescent="0.25">
      <c r="M9" s="9"/>
    </row>
  </sheetData>
  <sortState xmlns:xlrd2="http://schemas.microsoft.com/office/spreadsheetml/2017/richdata2" ref="K2:M9">
    <sortCondition ref="K2:K9"/>
    <sortCondition ref="L2:L9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679C-4F55-4134-80BB-2BACC4859716}">
  <dimension ref="A1:B6"/>
  <sheetViews>
    <sheetView workbookViewId="0">
      <selection activeCell="M24" sqref="M24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20</v>
      </c>
      <c r="B1" t="s">
        <v>39</v>
      </c>
    </row>
    <row r="2" spans="1:2" x14ac:dyDescent="0.25">
      <c r="A2" s="5">
        <v>45950</v>
      </c>
      <c r="B2">
        <v>200</v>
      </c>
    </row>
    <row r="3" spans="1:2" x14ac:dyDescent="0.25">
      <c r="A3" s="5">
        <v>45951</v>
      </c>
      <c r="B3">
        <v>190</v>
      </c>
    </row>
    <row r="4" spans="1:2" x14ac:dyDescent="0.25">
      <c r="A4" s="5">
        <v>45952</v>
      </c>
      <c r="B4">
        <v>240</v>
      </c>
    </row>
    <row r="5" spans="1:2" x14ac:dyDescent="0.25">
      <c r="A5" s="5">
        <v>45953</v>
      </c>
      <c r="B5">
        <v>180</v>
      </c>
    </row>
    <row r="6" spans="1:2" x14ac:dyDescent="0.25">
      <c r="A6" s="5">
        <v>45954</v>
      </c>
      <c r="B6">
        <v>170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050C-68A3-4E1E-A178-3C085245ACFC}">
  <dimension ref="A1:M32"/>
  <sheetViews>
    <sheetView workbookViewId="0">
      <selection activeCell="G6" sqref="G6"/>
    </sheetView>
  </sheetViews>
  <sheetFormatPr defaultRowHeight="15" x14ac:dyDescent="0.25"/>
  <cols>
    <col min="1" max="1" width="10.7109375" style="5" customWidth="1"/>
    <col min="2" max="2" width="12" style="9" bestFit="1" customWidth="1"/>
    <col min="12" max="12" width="10.7109375" bestFit="1" customWidth="1"/>
  </cols>
  <sheetData>
    <row r="1" spans="1:12" x14ac:dyDescent="0.25">
      <c r="A1" s="5" t="s">
        <v>35</v>
      </c>
      <c r="B1" s="9" t="s">
        <v>124</v>
      </c>
    </row>
    <row r="2" spans="1:12" x14ac:dyDescent="0.25">
      <c r="A2" s="5">
        <v>45950</v>
      </c>
      <c r="B2" s="9">
        <v>93.736842105263165</v>
      </c>
    </row>
    <row r="3" spans="1:12" x14ac:dyDescent="0.25">
      <c r="A3" s="5">
        <v>45951</v>
      </c>
      <c r="B3" s="9">
        <v>67.15789473684211</v>
      </c>
    </row>
    <row r="4" spans="1:12" x14ac:dyDescent="0.25">
      <c r="A4" s="5">
        <v>45952</v>
      </c>
      <c r="B4" s="9">
        <v>54.625</v>
      </c>
    </row>
    <row r="5" spans="1:12" x14ac:dyDescent="0.25">
      <c r="A5" s="5">
        <v>45953</v>
      </c>
      <c r="B5" s="9">
        <v>52.266666666666666</v>
      </c>
    </row>
    <row r="6" spans="1:12" x14ac:dyDescent="0.25">
      <c r="A6" s="5">
        <v>45954</v>
      </c>
      <c r="B6" s="9">
        <v>35.307692307692307</v>
      </c>
    </row>
    <row r="9" spans="1:12" x14ac:dyDescent="0.25">
      <c r="L9" s="5"/>
    </row>
    <row r="10" spans="1:12" x14ac:dyDescent="0.25">
      <c r="L10" s="5"/>
    </row>
    <row r="11" spans="1:12" x14ac:dyDescent="0.25">
      <c r="L11" s="5"/>
    </row>
    <row r="12" spans="1:12" x14ac:dyDescent="0.25">
      <c r="L12" s="5"/>
    </row>
    <row r="13" spans="1:12" x14ac:dyDescent="0.25">
      <c r="L13" s="5"/>
    </row>
    <row r="14" spans="1:12" x14ac:dyDescent="0.25">
      <c r="L14" s="5"/>
    </row>
    <row r="15" spans="1:12" x14ac:dyDescent="0.25">
      <c r="L15" s="5"/>
    </row>
    <row r="16" spans="1:12" x14ac:dyDescent="0.25">
      <c r="L16" s="5"/>
    </row>
    <row r="17" spans="12:13" x14ac:dyDescent="0.25">
      <c r="L17" s="5"/>
    </row>
    <row r="18" spans="12:13" x14ac:dyDescent="0.25">
      <c r="L18" s="5"/>
    </row>
    <row r="19" spans="12:13" x14ac:dyDescent="0.25">
      <c r="L19" s="5"/>
    </row>
    <row r="20" spans="12:13" x14ac:dyDescent="0.25">
      <c r="L20" s="5"/>
    </row>
    <row r="21" spans="12:13" x14ac:dyDescent="0.25">
      <c r="L21" s="5"/>
    </row>
    <row r="22" spans="12:13" x14ac:dyDescent="0.25">
      <c r="L22" s="5"/>
    </row>
    <row r="23" spans="12:13" x14ac:dyDescent="0.25">
      <c r="L23" s="5"/>
    </row>
    <row r="30" spans="12:13" x14ac:dyDescent="0.25">
      <c r="L30" s="8"/>
    </row>
    <row r="32" spans="12:13" x14ac:dyDescent="0.25">
      <c r="L32" s="8"/>
      <c r="M32" s="8"/>
    </row>
  </sheetData>
  <autoFilter ref="A1:B75" xr:uid="{48E1050C-68A3-4E1E-A178-3C085245ACFC}">
    <sortState xmlns:xlrd2="http://schemas.microsoft.com/office/spreadsheetml/2017/richdata2" ref="A2:B75">
      <sortCondition ref="A1:A75"/>
    </sortState>
  </autoFilter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D9D5-E54A-4310-8BEE-9E21A104A470}">
  <dimension ref="A1:F82"/>
  <sheetViews>
    <sheetView workbookViewId="0">
      <selection activeCell="I7" sqref="I7"/>
    </sheetView>
  </sheetViews>
  <sheetFormatPr defaultRowHeight="15" x14ac:dyDescent="0.25"/>
  <cols>
    <col min="1" max="1" width="13" style="10" customWidth="1"/>
    <col min="2" max="2" width="19.140625" style="11" customWidth="1"/>
    <col min="3" max="3" width="18.7109375" customWidth="1"/>
    <col min="4" max="4" width="10.7109375" style="3" customWidth="1"/>
    <col min="5" max="5" width="14" bestFit="1" customWidth="1"/>
    <col min="6" max="6" width="9.140625" style="9"/>
  </cols>
  <sheetData>
    <row r="1" spans="1:5" x14ac:dyDescent="0.25">
      <c r="A1" s="10" t="s">
        <v>35</v>
      </c>
      <c r="B1" s="11" t="s">
        <v>125</v>
      </c>
    </row>
    <row r="2" spans="1:5" x14ac:dyDescent="0.25">
      <c r="A2" s="10">
        <v>45950</v>
      </c>
      <c r="B2" s="9">
        <v>2.2000000000000002</v>
      </c>
    </row>
    <row r="3" spans="1:5" x14ac:dyDescent="0.25">
      <c r="A3" s="10">
        <v>45951</v>
      </c>
      <c r="B3" s="9">
        <v>2.0526315789473686</v>
      </c>
    </row>
    <row r="4" spans="1:5" x14ac:dyDescent="0.25">
      <c r="A4" s="10">
        <v>45952</v>
      </c>
      <c r="B4" s="9">
        <v>2</v>
      </c>
    </row>
    <row r="5" spans="1:5" x14ac:dyDescent="0.25">
      <c r="A5" s="10">
        <v>45953</v>
      </c>
      <c r="B5" s="9">
        <v>2.5714285714285716</v>
      </c>
    </row>
    <row r="6" spans="1:5" x14ac:dyDescent="0.25">
      <c r="A6" s="10">
        <v>45954</v>
      </c>
      <c r="B6" s="9">
        <v>2.9523809523809526</v>
      </c>
    </row>
    <row r="7" spans="1:5" x14ac:dyDescent="0.25">
      <c r="E7" s="9"/>
    </row>
    <row r="8" spans="1:5" x14ac:dyDescent="0.25">
      <c r="E8" s="9"/>
    </row>
    <row r="9" spans="1:5" x14ac:dyDescent="0.25">
      <c r="E9" s="9"/>
    </row>
    <row r="10" spans="1:5" x14ac:dyDescent="0.25">
      <c r="E10" s="9"/>
    </row>
    <row r="11" spans="1:5" x14ac:dyDescent="0.25">
      <c r="E11" s="9"/>
    </row>
    <row r="12" spans="1:5" x14ac:dyDescent="0.25">
      <c r="E12" s="9"/>
    </row>
    <row r="13" spans="1:5" x14ac:dyDescent="0.25">
      <c r="E13" s="9"/>
    </row>
    <row r="14" spans="1:5" x14ac:dyDescent="0.25">
      <c r="E14" s="9"/>
    </row>
    <row r="15" spans="1:5" x14ac:dyDescent="0.25">
      <c r="E15" s="9"/>
    </row>
    <row r="16" spans="1:5" x14ac:dyDescent="0.25">
      <c r="E16" s="9"/>
    </row>
    <row r="17" spans="5:5" x14ac:dyDescent="0.25">
      <c r="E17" s="9"/>
    </row>
    <row r="18" spans="5:5" x14ac:dyDescent="0.25">
      <c r="E18" s="9"/>
    </row>
    <row r="19" spans="5:5" x14ac:dyDescent="0.25">
      <c r="E19" s="9"/>
    </row>
    <row r="20" spans="5:5" x14ac:dyDescent="0.25">
      <c r="E20" s="9"/>
    </row>
    <row r="21" spans="5:5" x14ac:dyDescent="0.25">
      <c r="E21" s="9"/>
    </row>
    <row r="22" spans="5:5" x14ac:dyDescent="0.25">
      <c r="E22" s="9"/>
    </row>
    <row r="23" spans="5:5" x14ac:dyDescent="0.25">
      <c r="E23" s="9"/>
    </row>
    <row r="24" spans="5:5" x14ac:dyDescent="0.25">
      <c r="E24" s="9"/>
    </row>
    <row r="25" spans="5:5" x14ac:dyDescent="0.25">
      <c r="E25" s="9"/>
    </row>
    <row r="26" spans="5:5" x14ac:dyDescent="0.25">
      <c r="E26" s="9"/>
    </row>
    <row r="27" spans="5:5" x14ac:dyDescent="0.25">
      <c r="E27" s="9"/>
    </row>
    <row r="28" spans="5:5" x14ac:dyDescent="0.25">
      <c r="E28" s="9"/>
    </row>
    <row r="29" spans="5:5" x14ac:dyDescent="0.25">
      <c r="E29" s="9"/>
    </row>
    <row r="30" spans="5:5" x14ac:dyDescent="0.25">
      <c r="E30" s="9"/>
    </row>
    <row r="31" spans="5:5" x14ac:dyDescent="0.25">
      <c r="E31" s="9"/>
    </row>
    <row r="32" spans="5:5" x14ac:dyDescent="0.25">
      <c r="E32" s="9"/>
    </row>
    <row r="33" spans="5:5" x14ac:dyDescent="0.25">
      <c r="E33" s="9"/>
    </row>
    <row r="34" spans="5:5" x14ac:dyDescent="0.25">
      <c r="E34" s="9"/>
    </row>
    <row r="35" spans="5:5" x14ac:dyDescent="0.25">
      <c r="E35" s="9"/>
    </row>
    <row r="36" spans="5:5" x14ac:dyDescent="0.25">
      <c r="E36" s="9"/>
    </row>
    <row r="37" spans="5:5" x14ac:dyDescent="0.25">
      <c r="E37" s="9"/>
    </row>
    <row r="38" spans="5:5" x14ac:dyDescent="0.25">
      <c r="E38" s="9"/>
    </row>
    <row r="39" spans="5:5" x14ac:dyDescent="0.25">
      <c r="E39" s="9"/>
    </row>
    <row r="40" spans="5:5" x14ac:dyDescent="0.25">
      <c r="E40" s="9"/>
    </row>
    <row r="41" spans="5:5" x14ac:dyDescent="0.25">
      <c r="E41" s="9"/>
    </row>
    <row r="42" spans="5:5" x14ac:dyDescent="0.25">
      <c r="E42" s="9"/>
    </row>
    <row r="43" spans="5:5" x14ac:dyDescent="0.25">
      <c r="E43" s="9"/>
    </row>
    <row r="44" spans="5:5" x14ac:dyDescent="0.25">
      <c r="E44" s="9"/>
    </row>
    <row r="45" spans="5:5" x14ac:dyDescent="0.25">
      <c r="E45" s="9"/>
    </row>
    <row r="46" spans="5:5" x14ac:dyDescent="0.25">
      <c r="E46" s="9"/>
    </row>
    <row r="47" spans="5:5" x14ac:dyDescent="0.25">
      <c r="E47" s="9"/>
    </row>
    <row r="48" spans="5:5" x14ac:dyDescent="0.25">
      <c r="E48" s="9"/>
    </row>
    <row r="49" spans="5:5" x14ac:dyDescent="0.25">
      <c r="E49" s="9"/>
    </row>
    <row r="50" spans="5:5" x14ac:dyDescent="0.25">
      <c r="E50" s="9"/>
    </row>
    <row r="51" spans="5:5" x14ac:dyDescent="0.25">
      <c r="E51" s="9"/>
    </row>
    <row r="52" spans="5:5" x14ac:dyDescent="0.25">
      <c r="E52" s="9"/>
    </row>
    <row r="53" spans="5:5" x14ac:dyDescent="0.25">
      <c r="E53" s="9"/>
    </row>
    <row r="54" spans="5:5" x14ac:dyDescent="0.25">
      <c r="E54" s="9"/>
    </row>
    <row r="55" spans="5:5" x14ac:dyDescent="0.25">
      <c r="E55" s="9"/>
    </row>
    <row r="56" spans="5:5" x14ac:dyDescent="0.25">
      <c r="E56" s="9"/>
    </row>
    <row r="57" spans="5:5" x14ac:dyDescent="0.25">
      <c r="E57" s="9"/>
    </row>
    <row r="58" spans="5:5" x14ac:dyDescent="0.25">
      <c r="E58" s="9"/>
    </row>
    <row r="59" spans="5:5" x14ac:dyDescent="0.25">
      <c r="E59" s="9"/>
    </row>
    <row r="60" spans="5:5" x14ac:dyDescent="0.25">
      <c r="E60" s="9"/>
    </row>
    <row r="61" spans="5:5" x14ac:dyDescent="0.25">
      <c r="E61" s="9"/>
    </row>
    <row r="62" spans="5:5" x14ac:dyDescent="0.25">
      <c r="E62" s="9"/>
    </row>
    <row r="63" spans="5:5" x14ac:dyDescent="0.25">
      <c r="E63" s="9"/>
    </row>
    <row r="64" spans="5:5" x14ac:dyDescent="0.25">
      <c r="E64" s="9"/>
    </row>
    <row r="65" spans="5:5" x14ac:dyDescent="0.25">
      <c r="E65" s="9"/>
    </row>
    <row r="66" spans="5:5" x14ac:dyDescent="0.25">
      <c r="E66" s="9"/>
    </row>
    <row r="67" spans="5:5" x14ac:dyDescent="0.25">
      <c r="E67" s="9"/>
    </row>
    <row r="68" spans="5:5" x14ac:dyDescent="0.25">
      <c r="E68" s="9"/>
    </row>
    <row r="69" spans="5:5" x14ac:dyDescent="0.25">
      <c r="E69" s="9"/>
    </row>
    <row r="70" spans="5:5" x14ac:dyDescent="0.25">
      <c r="E70" s="9"/>
    </row>
    <row r="71" spans="5:5" x14ac:dyDescent="0.25">
      <c r="E71" s="9"/>
    </row>
    <row r="72" spans="5:5" x14ac:dyDescent="0.25">
      <c r="E72" s="9"/>
    </row>
    <row r="73" spans="5:5" x14ac:dyDescent="0.25">
      <c r="E73" s="9"/>
    </row>
    <row r="74" spans="5:5" x14ac:dyDescent="0.25">
      <c r="E74" s="9"/>
    </row>
    <row r="75" spans="5:5" x14ac:dyDescent="0.25">
      <c r="E75" s="9"/>
    </row>
    <row r="80" spans="5:5" x14ac:dyDescent="0.25">
      <c r="E80" s="1"/>
    </row>
    <row r="82" spans="5:5" x14ac:dyDescent="0.25">
      <c r="E82" s="1"/>
    </row>
  </sheetData>
  <sortState xmlns:xlrd2="http://schemas.microsoft.com/office/spreadsheetml/2017/richdata2" ref="A2:A62">
    <sortCondition ref="A2:A62"/>
  </sortState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923280-7744-4D16-8081-2883F62982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RawData</vt:lpstr>
      <vt:lpstr>AncillaryData</vt:lpstr>
      <vt:lpstr>OverallMeans</vt:lpstr>
      <vt:lpstr>BraunBlanquet</vt:lpstr>
      <vt:lpstr>BB-10-20</vt:lpstr>
      <vt:lpstr>Appearance</vt:lpstr>
      <vt:lpstr>Epiphytes</vt:lpstr>
      <vt:lpstr>BladeLength</vt:lpstr>
      <vt:lpstr>Shoot</vt:lpstr>
      <vt:lpstr>Secchi</vt:lpstr>
      <vt:lpstr>Depth</vt:lpstr>
      <vt:lpstr>Sediment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Raulerson</dc:creator>
  <cp:lastModifiedBy>Gary Raulerson</cp:lastModifiedBy>
  <cp:lastPrinted>2025-10-28T18:45:42Z</cp:lastPrinted>
  <dcterms:created xsi:type="dcterms:W3CDTF">2025-10-08T17:47:34Z</dcterms:created>
  <dcterms:modified xsi:type="dcterms:W3CDTF">2025-10-29T20:01:50Z</dcterms:modified>
</cp:coreProperties>
</file>